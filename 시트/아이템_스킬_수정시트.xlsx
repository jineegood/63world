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fc1516eac74e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법" sheetId="1" r:id="R6dae0550e9104375"/>
    <x:sheet xmlns:r="http://schemas.openxmlformats.org/officeDocument/2006/relationships" name="무기" sheetId="2" r:id="R22720fabb8534c80"/>
    <x:sheet xmlns:r="http://schemas.openxmlformats.org/officeDocument/2006/relationships" name="방어구·머리" sheetId="3" r:id="R5a51ce9246874114"/>
    <x:sheet xmlns:r="http://schemas.openxmlformats.org/officeDocument/2006/relationships" name="악세서리" sheetId="4" r:id="R30a4903ab01b4312"/>
    <x:sheet xmlns:r="http://schemas.openxmlformats.org/officeDocument/2006/relationships" name="스킬" sheetId="5" r:id="R9e85e92132de4d28"/>
    <x:sheet xmlns:r="http://schemas.openxmlformats.org/officeDocument/2006/relationships" name="계산식" sheetId="6" r:id="R314b8538a9f54567"/>
  </x:sheets>
</x:workbook>
</file>

<file path=xl/sharedStrings.xml><?xml version="1.0" encoding="utf-8"?>
<x:sst xmlns:x="http://schemas.openxmlformats.org/spreadsheetml/2006/main">
  <x:si>
    <x:t xml:space="preserve">육삼빌딩의 세계 - 아이템·스킬 수정시트 (최신 현행화)</x:t>
  </x:si>
  <x:si>
    <x:t xml:space="preserve">기준</x:t>
  </x:si>
  <x:si>
    <x:t xml:space="preserve">2026-07-15 현재 게임 코드와 수정된 전투 규칙 기준</x:t>
  </x:si>
  <x:si>
    <x:t xml:space="preserve">편집</x:t>
  </x:si>
  <x:si>
    <x:t xml:space="preserve">파란 글씨 칸은 자유롭게 수정할 수 있습니다.</x:t>
  </x:si>
  <x:si>
    <x:t xml:space="preserve">식별자</x:t>
  </x:si>
  <x:si>
    <x:t xml:space="preserve">회색 id와 직업·부위 칸은 게임 연결용이므로 변경하지 마세요.</x:t>
  </x:si>
  <x:si>
    <x:t xml:space="preserve">계산식</x:t>
  </x:si>
  <x:si>
    <x:t xml:space="preserve">노란 입력 칸을 바꾸면 초록 수식 칸이 자동 계산됩니다.</x:t>
  </x:si>
  <x:si>
    <x:t xml:space="preserve">치명타</x:t>
  </x:si>
  <x:si>
    <x:t xml:space="preserve">빗나감</x:t>
  </x:si>
  <x:si>
    <x:t xml:space="preserve">모든 공격·공격 주문은 타격마다 10% 확률로 빗나갑니다. 회복·보호막·버프는 빗나가지 않습니다.</x:t>
  </x:si>
  <x:si>
    <x:t xml:space="preserve">다단 공격</x:t>
  </x:si>
  <x:si>
    <x:t xml:space="preserve">더블 어택과 다단 주문은 각 타격의 빗나감과 치명타를 독립적으로 계산합니다.</x:t>
  </x:si>
  <x:si>
    <x:t xml:space="preserve">원본 보존</x:t>
  </x:si>
  <x:si>
    <x:t xml:space="preserve">이 파일을 수정해 전달하면 id를 기준으로 게임 데이터에 반영할 수 있습니다.</x:t>
  </x:si>
  <x:si>
    <x:t xml:space="preserve">id(수정금지)</x:t>
  </x:si>
  <x:si>
    <x:t xml:space="preserve">부위</x:t>
  </x:si>
  <x:si>
    <x:t xml:space="preserve">직업</x:t>
  </x:si>
  <x:si>
    <x:t xml:space="preserve">이름</x:t>
  </x:si>
  <x:si>
    <x:t xml:space="preserve">가격(골드)</x:t>
  </x:si>
  <x:si>
    <x:t xml:space="preserve">가격(빌딩)</x:t>
  </x:si>
  <x:si>
    <x:t xml:space="preserve">레벨제한</x:t>
  </x:si>
  <x:si>
    <x:t xml:space="preserve">힘</x:t>
  </x:si>
  <x:si>
    <x:t xml:space="preserve">지능</x:t>
  </x:si>
  <x:si>
    <x:t xml:space="preserve">정신</x:t>
  </x:si>
  <x:si>
    <x:t xml:space="preserve">체력</x:t>
  </x:si>
  <x:si>
    <x:t xml:space="preserve">소지 힘</x:t>
  </x:si>
  <x:si>
    <x:t xml:space="preserve">소지 지능</x:t>
  </x:si>
  <x:si>
    <x:t xml:space="preserve">소지 정신</x:t>
  </x:si>
  <x:si>
    <x:t xml:space="preserve">소지 체력</x:t>
  </x:si>
  <x:si>
    <x:t xml:space="preserve">외형키</x:t>
  </x:si>
  <x:si>
    <x:t xml:space="preserve">설명</x:t>
  </x:si>
  <x:si>
    <x:t xml:space="preserve">bronzeGreatsword</x:t>
  </x:si>
  <x:si>
    <x:t xml:space="preserve">무기</x:t>
  </x:si>
  <x:si>
    <x:t xml:space="preserve">전사</x:t>
  </x:si>
  <x:si>
    <x:t xml:space="preserve">목검</x:t>
  </x:si>
  <x:si>
    <x:t xml:space="preserve">woodSwordPlus</x:t>
  </x:si>
  <x:si>
    <x:t xml:space="preserve">전사용 장비. 훈련용보다 단단한 목검입니다. 힘 +2, 체력 +1</x:t>
  </x:si>
  <x:si>
    <x:t xml:space="preserve">blueSword</x:t>
  </x:si>
  <x:si>
    <x:t xml:space="preserve">푸른 검</x:t>
  </x:si>
  <x:si>
    <x:t xml:space="preserve">mithrilSword</x:t>
  </x:si>
  <x:si>
    <x:t xml:space="preserve">전사용 장비. 푸른 빛이 도는 검입니다. 힘 +4, 체력 +1</x:t>
  </x:si>
  <x:si>
    <x:t xml:space="preserve">ironSword</x:t>
  </x:si>
  <x:si>
    <x:t xml:space="preserve">은빛 검</x:t>
  </x:si>
  <x:si>
    <x:t xml:space="preserve">전사용 장비. 은빛으로 벼려진 검입니다. 힘 +6, 체력 +2</x:t>
  </x:si>
  <x:si>
    <x:t xml:space="preserve">미스릴 검</x:t>
  </x:si>
  <x:si>
    <x:t xml:space="preserve">전사용 장비. 가볍고 강력한 미스릴 검입니다. 힘 +9, 체력 +3</x:t>
  </x:si>
  <x:si>
    <x:t xml:space="preserve">crystalStaff</x:t>
  </x:si>
  <x:si>
    <x:t xml:space="preserve">마법사</x:t>
  </x:si>
  <x:si>
    <x:t xml:space="preserve">떡갈나무 지팡이</x:t>
  </x:si>
  <x:si>
    <x:t xml:space="preserve">마법사용 장비. 숲의 기운이 깃든 지팡이입니다. 지능 +3</x:t>
  </x:si>
  <x:si>
    <x:t xml:space="preserve">holyBook</x:t>
  </x:si>
  <x:si>
    <x:t xml:space="preserve">사제</x:t>
  </x:si>
  <x:si>
    <x:t xml:space="preserve">기도서</x:t>
  </x:si>
  <x:si>
    <x:t xml:space="preserve">사제용 장비. 기초 기도문이 담긴 책입니다. 정신 +3</x:t>
  </x:si>
  <x:si>
    <x:t xml:space="preserve">oakStaff</x:t>
  </x:si>
  <x:si>
    <x:t xml:space="preserve">철목 지팡이</x:t>
  </x:si>
  <x:si>
    <x:t xml:space="preserve">마법사용 장비. 단단한 철목 지팡이입니다. 지능 +5</x:t>
  </x:si>
  <x:si>
    <x:t xml:space="preserve">ironwoodStaff</x:t>
  </x:si>
  <x:si>
    <x:t xml:space="preserve">수정 지팡이</x:t>
  </x:si>
  <x:si>
    <x:t xml:space="preserve">마법사용 장비. 수정의 마력이 흐르는 지팡이입니다. 지능 +7</x:t>
  </x:si>
  <x:si>
    <x:t xml:space="preserve">mithrilStaff</x:t>
  </x:si>
  <x:si>
    <x:t xml:space="preserve">미스릴 지팡이</x:t>
  </x:si>
  <x:si>
    <x:t xml:space="preserve">마법사용 장비. 푸른 마력이 흐르는 지팡이입니다. 지능 +10</x:t>
  </x:si>
  <x:si>
    <x:t xml:space="preserve">prayerBook</x:t>
  </x:si>
  <x:si>
    <x:t xml:space="preserve">빛의 성서</x:t>
  </x:si>
  <x:si>
    <x:t xml:space="preserve">사제용 장비. 빛의 기도문이 담긴 성서입니다. 정신 +5</x:t>
  </x:si>
  <x:si>
    <x:t xml:space="preserve">silverBook</x:t>
  </x:si>
  <x:si>
    <x:t xml:space="preserve">은빛 성서</x:t>
  </x:si>
  <x:si>
    <x:t xml:space="preserve">사제용 장비. 은빛 문양의 성서입니다. 정신 +7</x:t>
  </x:si>
  <x:si>
    <x:t xml:space="preserve">dawnTome</x:t>
  </x:si>
  <x:si>
    <x:t xml:space="preserve">새벽의 고서</x:t>
  </x:si>
  <x:si>
    <x:t xml:space="preserve">사제용 장비. 빛과 암흑의 문장이 함께 적힌 고서입니다. 정신 +10</x:t>
  </x:si>
  <x:si>
    <x:t xml:space="preserve">whiteCloak</x:t>
  </x:si>
  <x:si>
    <x:t xml:space="preserve">갑옷</x:t>
  </x:si>
  <x:si>
    <x:t xml:space="preserve">공용</x:t>
  </x:si>
  <x:si>
    <x:t xml:space="preserve">흰 망토</x:t>
  </x:si>
  <x:si>
    <x:t xml:space="preserve">cloak</x:t>
  </x:si>
  <x:si>
    <x:t xml:space="preserve">명진쌤이 챙겨준 기본 보급 망토. 체력 +1 (퀘스트 지급품)</x:t>
  </x:si>
  <x:si>
    <x:t xml:space="preserve">noviceHat</x:t>
  </x:si>
  <x:si>
    <x:t xml:space="preserve">머리</x:t>
  </x:si>
  <x:si>
    <x:t xml:space="preserve">수련 모자</x:t>
  </x:si>
  <x:si>
    <x:t xml:space="preserve">blueCap</x:t>
  </x:si>
  <x:si>
    <x:t xml:space="preserve">모든 직업 착용 가능. 체력 +1</x:t>
  </x:si>
  <x:si>
    <x:t xml:space="preserve">forestCloak</x:t>
  </x:si>
  <x:si>
    <x:t xml:space="preserve">숲의 망토</x:t>
  </x:si>
  <x:si>
    <x:t xml:space="preserve">greenCloak</x:t>
  </x:si>
  <x:si>
    <x:t xml:space="preserve">모든 직업 착용 가능. 체력 +2</x:t>
  </x:si>
  <x:si>
    <x:t xml:space="preserve">leatherArmor</x:t>
  </x:si>
  <x:si>
    <x:t xml:space="preserve">가죽 갑옷</x:t>
  </x:si>
  <x:si>
    <x:t xml:space="preserve">chestplate</x:t>
  </x:si>
  <x:si>
    <x:t xml:space="preserve">전사용 방어구. 체력 +2, 힘 +1</x:t>
  </x:si>
  <x:si>
    <x:t xml:space="preserve">steelArmor</x:t>
  </x:si>
  <x:si>
    <x:t xml:space="preserve">강철 흉갑</x:t>
  </x:si>
  <x:si>
    <x:t xml:space="preserve">전사용 방어구. 체력 +4, 힘 +1</x:t>
  </x:si>
  <x:si>
    <x:t xml:space="preserve">crimsonArmor</x:t>
  </x:si>
  <x:si>
    <x:t xml:space="preserve">진홍 판금 갑옷</x:t>
  </x:si>
  <x:si>
    <x:t xml:space="preserve">전사용 방어구. 체력 +6, 힘 +2</x:t>
  </x:si>
  <x:si>
    <x:t xml:space="preserve">skyRobe</x:t>
  </x:si>
  <x:si>
    <x:t xml:space="preserve">하늘빛 로브</x:t>
  </x:si>
  <x:si>
    <x:t xml:space="preserve">마법사용 로브. 체력 +2, 지능 +1</x:t>
  </x:si>
  <x:si>
    <x:t xml:space="preserve">navyRobe</x:t>
  </x:si>
  <x:si>
    <x:t xml:space="preserve">남색 현자 로브</x:t>
  </x:si>
  <x:si>
    <x:t xml:space="preserve">마법사용 로브. 체력 +3, 지능 +2</x:t>
  </x:si>
  <x:si>
    <x:t xml:space="preserve">violetRobe</x:t>
  </x:si>
  <x:si>
    <x:t xml:space="preserve">보랏빛 대마법사 로브</x:t>
  </x:si>
  <x:si>
    <x:t xml:space="preserve">마법사용 로브. 체력 +4, 지능 +3</x:t>
  </x:si>
  <x:si>
    <x:t xml:space="preserve">whiteVestment</x:t>
  </x:si>
  <x:si>
    <x:t xml:space="preserve">순백의 제의</x:t>
  </x:si>
  <x:si>
    <x:t xml:space="preserve">robe</x:t>
  </x:si>
  <x:si>
    <x:t xml:space="preserve">사제용 제의. 체력 +2, 정신 +1</x:t>
  </x:si>
  <x:si>
    <x:t xml:space="preserve">goldVestment</x:t>
  </x:si>
  <x:si>
    <x:t xml:space="preserve">금빛 축복 제의</x:t>
  </x:si>
  <x:si>
    <x:t xml:space="preserve">사제용 제의. 체력 +3, 정신 +2</x:t>
  </x:si>
  <x:si>
    <x:t xml:space="preserve">roseVestment</x:t>
  </x:si>
  <x:si>
    <x:t xml:space="preserve">장미빛 성자 제의</x:t>
  </x:si>
  <x:si>
    <x:t xml:space="preserve">사제용 제의. 체력 +4, 정신 +3</x:t>
  </x:si>
  <x:si>
    <x:t xml:space="preserve">leatherHelm</x:t>
  </x:si>
  <x:si>
    <x:t xml:space="preserve">가죽 투구</x:t>
  </x:si>
  <x:si>
    <x:t xml:space="preserve">helm</x:t>
  </x:si>
  <x:si>
    <x:t xml:space="preserve">전사용 투구. 체력 +1, 힘 +1</x:t>
  </x:si>
  <x:si>
    <x:t xml:space="preserve">steelHelm</x:t>
  </x:si>
  <x:si>
    <x:t xml:space="preserve">강철 투구</x:t>
  </x:si>
  <x:si>
    <x:t xml:space="preserve">전사용 투구. 체력 +2, 힘 +2</x:t>
  </x:si>
  <x:si>
    <x:t xml:space="preserve">crimsonHelm</x:t>
  </x:si>
  <x:si>
    <x:t xml:space="preserve">진홍 투구</x:t>
  </x:si>
  <x:si>
    <x:t xml:space="preserve">전사용 투구. 체력 +3, 힘 +3</x:t>
  </x:si>
  <x:si>
    <x:t xml:space="preserve">blueWizardHat</x:t>
  </x:si>
  <x:si>
    <x:t xml:space="preserve">파란 마법 고깔</x:t>
  </x:si>
  <x:si>
    <x:t xml:space="preserve">wizardHat</x:t>
  </x:si>
  <x:si>
    <x:t xml:space="preserve">마법사용 모자. 지능 +2</x:t>
  </x:si>
  <x:si>
    <x:t xml:space="preserve">navyWizardHat</x:t>
  </x:si>
  <x:si>
    <x:t xml:space="preserve">남색 별 고깔</x:t>
  </x:si>
  <x:si>
    <x:t xml:space="preserve">마법사용 모자. 지능 +3, 체력 +1</x:t>
  </x:si>
  <x:si>
    <x:t xml:space="preserve">violetWizardHat</x:t>
  </x:si>
  <x:si>
    <x:t xml:space="preserve">보라 현자 고깔</x:t>
  </x:si>
  <x:si>
    <x:t xml:space="preserve">마법사용 모자. 지능 +4, 체력 +1</x:t>
  </x:si>
  <x:si>
    <x:t xml:space="preserve">whiteHood</x:t>
  </x:si>
  <x:si>
    <x:t xml:space="preserve">순백 두건</x:t>
  </x:si>
  <x:si>
    <x:t xml:space="preserve">nurseCap</x:t>
  </x:si>
  <x:si>
    <x:t xml:space="preserve">사제용 두건. 정신 +2</x:t>
  </x:si>
  <x:si>
    <x:t xml:space="preserve">goldCirclet</x:t>
  </x:si>
  <x:si>
    <x:t xml:space="preserve">금빛 성관</x:t>
  </x:si>
  <x:si>
    <x:t xml:space="preserve">사제용 관. 정신 +3, 체력 +1</x:t>
  </x:si>
  <x:si>
    <x:t xml:space="preserve">roseHood</x:t>
  </x:si>
  <x:si>
    <x:t xml:space="preserve">장미빛 성자 두건</x:t>
  </x:si>
  <x:si>
    <x:t xml:space="preserve">사제용 두건. 정신 +4, 체력 +1</x:t>
  </x:si>
  <x:si>
    <x:t xml:space="preserve">starCape</x:t>
  </x:si>
  <x:si>
    <x:t xml:space="preserve">별빛 망토</x:t>
  </x:si>
  <x:si>
    <x:t xml:space="preserve">전설의 망토. 주요 능력치 +2, 체력 +4 (퀘스트 보상)</x:t>
  </x:si>
  <x:si>
    <x:t xml:space="preserve">honorCrown</x:t>
  </x:si>
  <x:si>
    <x:t xml:space="preserve">명예 왕관</x:t>
  </x:si>
  <x:si>
    <x:t xml:space="preserve">crown</x:t>
  </x:si>
  <x:si>
    <x:t xml:space="preserve">명예의 증표. 모든 주요 능력치 +2 (퀘스트 보상)</x:t>
  </x:si>
  <x:si>
    <x:t xml:space="preserve">featherWing</x:t>
  </x:si>
  <x:si>
    <x:t xml:space="preserve">악세서리</x:t>
  </x:si>
  <x:si>
    <x:t xml:space="preserve">하얀 날개 장식</x:t>
  </x:si>
  <x:si>
    <x:t xml:space="preserve">whiteWing</x:t>
  </x:si>
  <x:si>
    <x:t xml:space="preserve">순백의 날개. 장착: 정신 +2, 체력 +4 · 소지: 정신 +1</x:t>
  </x:si>
  <x:si>
    <x:t xml:space="preserve">sixthWing</x:t>
  </x:si>
  <x:si>
    <x:t xml:space="preserve">육삼 황금 날개</x:t>
  </x:si>
  <x:si>
    <x:t xml:space="preserve">63층의 바람을 담은 금빛 날개. 장착: 정신 +3, 체력 +2 · 소지: 체력 +1</x:t>
  </x:si>
  <x:si>
    <x:t xml:space="preserve">starPendant</x:t>
  </x:si>
  <x:si>
    <x:t xml:space="preserve">별빛 목걸이</x:t>
  </x:si>
  <x:si>
    <x:t xml:space="preserve">necklace</x:t>
  </x:si>
  <x:si>
    <x:t xml:space="preserve">가슴에서 반짝이는 별. 장착: 지능 +3 · 소지: 지능 +1</x:t>
  </x:si>
  <x:si>
    <x:t xml:space="preserve">guardAura</x:t>
  </x:si>
  <x:si>
    <x:t xml:space="preserve">수호의 오라</x:t>
  </x:si>
  <x:si>
    <x:t xml:space="preserve">aura</x:t>
  </x:si>
  <x:si>
    <x:t xml:space="preserve">몸을 감싸는 은은한 빛. 장착: 체력 +3 · 소지: 체력 +1</x:t>
  </x:si>
  <x:si>
    <x:t xml:space="preserve">cloverBadge</x:t>
  </x:si>
  <x:si>
    <x:t xml:space="preserve">네잎클로버 배지</x:t>
  </x:si>
  <x:si>
    <x:t xml:space="preserve">badge</x:t>
  </x:si>
  <x:si>
    <x:t xml:space="preserve">행운의 초록 배지. 장착: 힘 +3, 체력 +1 · 소지: 힘 +1</x:t>
  </x:si>
  <x:si>
    <x:t xml:space="preserve">전문화</x:t>
  </x:si>
  <x:si>
    <x:t xml:space="preserve">단계</x:t>
  </x:si>
  <x:si>
    <x:t xml:space="preserve">아이콘</x:t>
  </x:si>
  <x:si>
    <x:t xml:space="preserve">종류</x:t>
  </x:si>
  <x:si>
    <x:t xml:space="preserve">최대랭크</x:t>
  </x:si>
  <x:si>
    <x:t xml:space="preserve">액티브유형</x:t>
  </x:si>
  <x:si>
    <x:t xml:space="preserve">피해배율</x:t>
  </x:si>
  <x:si>
    <x:t xml:space="preserve">타격수</x:t>
  </x:si>
  <x:si>
    <x:t xml:space="preserve">타격배율</x:t>
  </x:si>
  <x:si>
    <x:t xml:space="preserve">쿨타임</x:t>
  </x:si>
  <x:si>
    <x:t xml:space="preserve">보호막률</x:t>
  </x:si>
  <x:si>
    <x:t xml:space="preserve">회복률</x:t>
  </x:si>
  <x:si>
    <x:t xml:space="preserve">처형HP</x:t>
  </x:si>
  <x:si>
    <x:t xml:space="preserve">치명타확률보너스</x:t>
  </x:si>
  <x:si>
    <x:t xml:space="preserve">스킬치명타보너스</x:t>
  </x:si>
  <x:si>
    <x:t xml:space="preserve">mage_basic_mana</x:t>
  </x:si>
  <x:si>
    <x:t xml:space="preserve">기초 마력 수련</x:t>
  </x:si>
  <x:si>
    <x:t xml:space="preserve">🔷</x:t>
  </x:si>
  <x:si>
    <x:t xml:space="preserve">root</x:t>
  </x:si>
  <x:si>
    <x:t xml:space="preserve">마법사의 기본 마력 수련. 지능+1.</x:t>
  </x:si>
  <x:si>
    <x:t xml:space="preserve">mage_basic_element</x:t>
  </x:si>
  <x:si>
    <x:t xml:space="preserve">원소 폭발</x:t>
  </x:si>
  <x:si>
    <x:t xml:space="preserve">✨</x:t>
  </x:si>
  <x:si>
    <x:t xml:space="preserve">3/6/9/12/15</x:t>
  </x:si>
  <x:si>
    <x:t xml:space="preserve">상대의 원소를 폭발시킨다. 상대의 남은 체력 3,6,9,12,15 이하 즉시 처형</x:t>
  </x:si>
  <x:si>
    <x:t xml:space="preserve">mage_basic_bolt</x:t>
  </x:si>
  <x:si>
    <x:t xml:space="preserve">마력탄</x:t>
  </x:si>
  <x:si>
    <x:t xml:space="preserve">🌠</x:t>
  </x:si>
  <x:si>
    <x:t xml:space="preserve">power</x:t>
  </x:si>
  <x:si>
    <x:t xml:space="preserve">damage</x:t>
  </x:si>
  <x:si>
    <x:t xml:space="preserve">현재 공격력의 150% 피해. 쿨타임 2턴.</x:t>
  </x:si>
  <x:si>
    <x:t xml:space="preserve">mage_basic_barrier</x:t>
  </x:si>
  <x:si>
    <x:t xml:space="preserve">환기</x:t>
  </x:si>
  <x:si>
    <x:t xml:space="preserve">🔮</x:t>
  </x:si>
  <x:si>
    <x:t xml:space="preserve">guard</x:t>
  </x:si>
  <x:si>
    <x:t xml:space="preserve">buff</x:t>
  </x:si>
  <x:si>
    <x:t xml:space="preserve">3턴간 자신의 지능을 30% 늘린다. 쿨타임 4턴.</x:t>
  </x:si>
  <x:si>
    <x:t xml:space="preserve">mage_frost_focus_v24</x:t>
  </x:si>
  <x:si>
    <x:t xml:space="preserve">냉기</x:t>
  </x:si>
  <x:si>
    <x:t xml:space="preserve">냉기 집중</x:t>
  </x:si>
  <x:si>
    <x:t xml:space="preserve">❄️</x:t>
  </x:si>
  <x:si>
    <x:t xml:space="preserve">frost</x:t>
  </x:si>
  <x:si>
    <x:t xml:space="preserve">냉기의 흐름에 집중한다. 지능 +2, 모든 공격 주문에 상대 기절 확률 7,21,35%</x:t>
  </x:si>
  <x:si>
    <x:t xml:space="preserve">mage_fire_focus_v24</x:t>
  </x:si>
  <x:si>
    <x:t xml:space="preserve">화염</x:t>
  </x:si>
  <x:si>
    <x:t xml:space="preserve">화염 집중</x:t>
  </x:si>
  <x:si>
    <x:t xml:space="preserve">🔥</x:t>
  </x:si>
  <x:si>
    <x:t xml:space="preserve">fire</x:t>
  </x:si>
  <x:si>
    <x:t xml:space="preserve">0.1/0.2/0.3</x:t>
  </x:si>
  <x:si>
    <x:t xml:space="preserve">화염의 흐름에 집중한다. 지능 +1. 치명타 확률 10,20,30% 증가</x:t>
  </x:si>
  <x:si>
    <x:t xml:space="preserve">mage_frost_lance_v24</x:t>
  </x:si>
  <x:si>
    <x:t xml:space="preserve">빙결 창</x:t>
  </x:si>
  <x:si>
    <x:t xml:space="preserve">🧊</x:t>
  </x:si>
  <x:si>
    <x:t xml:space="preserve">현재 공격력의 180% 피해. 상대를 1턴간 냉기 상태로 만든다. 쿨타임 3턴.</x:t>
  </x:si>
  <x:si>
    <x:t xml:space="preserve">mage_fireball_v24</x:t>
  </x:si>
  <x:si>
    <x:t xml:space="preserve">대화염구</x:t>
  </x:si>
  <x:si>
    <x:t xml:space="preserve">☄️</x:t>
  </x:si>
  <x:si>
    <x:t xml:space="preserve">현재 공격력의 85% 피해로 2번 타격한다. 쿨타임 3턴.</x:t>
  </x:si>
  <x:si>
    <x:t xml:space="preserve">mage_frost_armor_v24</x:t>
  </x:si>
  <x:si>
    <x:t xml:space="preserve">서리 갑옷</x:t>
  </x:si>
  <x:si>
    <x:t xml:space="preserve">🛡️</x:t>
  </x:si>
  <x:si>
    <x:t xml:space="preserve">shield</x:t>
  </x:si>
  <x:si>
    <x:t xml:space="preserve">최대 체력의 130% 보호막. 쿨타임 5턴.</x:t>
  </x:si>
  <x:si>
    <x:t xml:space="preserve">mage_fire_ember_v24</x:t>
  </x:si>
  <x:si>
    <x:t xml:space="preserve">불씨 증폭</x:t>
  </x:si>
  <x:si>
    <x:t xml:space="preserve">💥</x:t>
  </x:si>
  <x:si>
    <x:t xml:space="preserve">0.2/0.4/0.6</x:t>
  </x:si>
  <x:si>
    <x:t xml:space="preserve">화염 치명타 감각을 높인다. 지능 +1, 스킬 치명타 데미지 20,40,60% 증가</x:t>
  </x:si>
  <x:si>
    <x:t xml:space="preserve">mage_frost_mind_v24</x:t>
  </x:si>
  <x:si>
    <x:t xml:space="preserve">혹한의 정신</x:t>
  </x:si>
  <x:si>
    <x:t xml:space="preserve">💎</x:t>
  </x:si>
  <x:si>
    <x:t xml:space="preserve">차가운 지능을 얻는다. 지능 +3.</x:t>
  </x:si>
  <x:si>
    <x:t xml:space="preserve">mage_fire_burst_v24</x:t>
  </x:si>
  <x:si>
    <x:t xml:space="preserve">폭열</x:t>
  </x:si>
  <x:si>
    <x:t xml:space="preserve">현재 공격력의 70% 피해로 3번 타격한다. 쿨타임 4턴.</x:t>
  </x:si>
  <x:si>
    <x:t xml:space="preserve">mage_frost_storm_v24</x:t>
  </x:si>
  <x:si>
    <x:t xml:space="preserve">빙하 폭풍</x:t>
  </x:si>
  <x:si>
    <x:t xml:space="preserve">🌨️</x:t>
  </x:si>
  <x:si>
    <x:t xml:space="preserve">ultimate</x:t>
  </x:si>
  <x:si>
    <x:t xml:space="preserve">현재 공격력의 270% 피해. 상대를 2턴간 얼려 공격 피해를 50% 감소시킨다. 쿨타임 5턴.</x:t>
  </x:si>
  <x:si>
    <x:t xml:space="preserve">mage_fire_meteor_v24</x:t>
  </x:si>
  <x:si>
    <x:t xml:space="preserve">메테오</x:t>
  </x:si>
  <x:si>
    <x:t xml:space="preserve">🌋</x:t>
  </x:si>
  <x:si>
    <x:t xml:space="preserve">현재 공격력의 80% 피해로 4번 타격한다. 쿨타임 5턴.</x:t>
  </x:si>
  <x:si>
    <x:t xml:space="preserve">priest_basic_faith</x:t>
  </x:si>
  <x:si>
    <x:t xml:space="preserve">기초 신앙</x:t>
  </x:si>
  <x:si>
    <x:t xml:space="preserve">📖</x:t>
  </x:si>
  <x:si>
    <x:t xml:space="preserve">기초적인 신앙심을 기른다. 정신 +1.</x:t>
  </x:si>
  <x:si>
    <x:t xml:space="preserve">priest_basic_life</x:t>
  </x:si>
  <x:si>
    <x:t xml:space="preserve">신앙의 광채</x:t>
  </x:si>
  <x:si>
    <x:t xml:space="preserve">✚</x:t>
  </x:si>
  <x:si>
    <x:t xml:space="preserve">holy</x:t>
  </x:si>
  <x:si>
    <x:t xml:space="preserve">상대의 공격이 빗나갈 확률이 증가한다. 5,10,15,20,25% 빗나감 (기본 10% 빗나감과 합산되어 실제 몬스터 공격 빗나감은 15/20/25/30/35%.)</x:t>
  </x:si>
  <x:si>
    <x:t xml:space="preserve">priest_basic_smite</x:t>
  </x:si>
  <x:si>
    <x:t xml:space="preserve">신앙의 일격</x:t>
  </x:si>
  <x:si>
    <x:t xml:space="preserve">🌟</x:t>
  </x:si>
  <x:si>
    <x:t xml:space="preserve">현재 공격력의 130% 피해, 최대 체력의 15% 회복. 쿨타임 3턴.</x:t>
  </x:si>
  <x:si>
    <x:t xml:space="preserve">priest_basic_prayer</x:t>
  </x:si>
  <x:si>
    <x:t xml:space="preserve">기도의 방벽</x:t>
  </x:si>
  <x:si>
    <x:t xml:space="preserve">상대에게 공격받으면 5,10,15%만큼 피해를 돌려주고 그만큼 회복한다.</x:t>
  </x:si>
  <x:si>
    <x:t xml:space="preserve">priest_holy_focus_v24</x:t>
  </x:si>
  <x:si>
    <x:t xml:space="preserve">신성</x:t>
  </x:si>
  <x:si>
    <x:t xml:space="preserve">신성 집중</x:t>
  </x:si>
  <x:si>
    <x:t xml:space="preserve">☀️</x:t>
  </x:si>
  <x:si>
    <x:t xml:space="preserve">신성의 힘에 집중한다. 정신 +2.</x:t>
  </x:si>
  <x:si>
    <x:t xml:space="preserve">priest_shadow_focus_v24</x:t>
  </x:si>
  <x:si>
    <x:t xml:space="preserve">암흑</x:t>
  </x:si>
  <x:si>
    <x:t xml:space="preserve">암흑 집중</x:t>
  </x:si>
  <x:si>
    <x:t xml:space="preserve">☾</x:t>
  </x:si>
  <x:si>
    <x:t xml:space="preserve">shadow</x:t>
  </x:si>
  <x:si>
    <x:t xml:space="preserve">암흑의 힘에 집중한다. 정신 +2.</x:t>
  </x:si>
  <x:si>
    <x:t xml:space="preserve">priest_holy_absorb_v24</x:t>
  </x:si>
  <x:si>
    <x:t xml:space="preserve">빛의 섬광</x:t>
  </x:si>
  <x:si>
    <x:t xml:space="preserve">healAllies</x:t>
  </x:si>
  <x:si>
    <x:t xml:space="preserve">모든 생존 아군의 체력을 각 대상 최대 체력의 50%만큼 회복한다. 쿨타임 4턴.</x:t>
  </x:si>
  <x:si>
    <x:t xml:space="preserve">priest_shadow_seed_v24</x:t>
  </x:si>
  <x:si>
    <x:t xml:space="preserve">암흑의 씨앗</x:t>
  </x:si>
  <x:si>
    <x:t xml:space="preserve">🟣</x:t>
  </x:si>
  <x:si>
    <x:t xml:space="preserve">shadowDot</x:t>
  </x:si>
  <x:si>
    <x:t xml:space="preserve">120%의 피해와 암흑 2중첩을 쌓는다. 쿨타임 3턴.</x:t>
  </x:si>
  <x:si>
    <x:t xml:space="preserve">priest_holy_barrier_v24</x:t>
  </x:si>
  <x:si>
    <x:t xml:space="preserve">신성 보호막</x:t>
  </x:si>
  <x:si>
    <x:t xml:space="preserve">최대 체력의 70% 보호막. 쿨타임 4턴.</x:t>
  </x:si>
  <x:si>
    <x:t xml:space="preserve">priest_shadow_mark_v24</x:t>
  </x:si>
  <x:si>
    <x:t xml:space="preserve">암흑 낙인</x:t>
  </x:si>
  <x:si>
    <x:t xml:space="preserve">🌑</x:t>
  </x:si>
  <x:si>
    <x:t xml:space="preserve">암흑 5중첩을 적에게 추가한다. 쿨타임 4턴.</x:t>
  </x:si>
  <x:si>
    <x:t xml:space="preserve">priest_holy_grace_v24</x:t>
  </x:si>
  <x:si>
    <x:t xml:space="preserve">치유 숙련</x:t>
  </x:si>
  <x:si>
    <x:t xml:space="preserve">💫</x:t>
  </x:si>
  <x:si>
    <x:t xml:space="preserve">체력을 회복하는 모든 기술들의 효율이 50, 100, 150% 증가한다.</x:t>
  </x:si>
  <x:si>
    <x:t xml:space="preserve">priest_shadow_void_v24</x:t>
  </x:si>
  <x:si>
    <x:t xml:space="preserve">공허 숙련</x:t>
  </x:si>
  <x:si>
    <x:t xml:space="preserve">🌌</x:t>
  </x:si>
  <x:si>
    <x:t xml:space="preserve">암흑 중첩 피해도 10,20,30% 확률로 치명타로 작용할 수 있게 된다.</x:t>
  </x:si>
  <x:si>
    <x:t xml:space="preserve">priest_holy_judgment_v24</x:t>
  </x:si>
  <x:si>
    <x:t xml:space="preserve">은총의 심판</x:t>
  </x:si>
  <x:si>
    <x:t xml:space="preserve">✦</x:t>
  </x:si>
  <x:si>
    <x:t xml:space="preserve">damageHeal</x:t>
  </x:si>
  <x:si>
    <x:t xml:space="preserve">현재 공격력의 230% 피해를 주고 크게 회복한다. 쿨타임 5턴.</x:t>
  </x:si>
  <x:si>
    <x:t xml:space="preserve">priest_shadow_judgment_v24</x:t>
  </x:si>
  <x:si>
    <x:t xml:space="preserve">암흑 심판</x:t>
  </x:si>
  <x:si>
    <x:t xml:space="preserve">현재 공격력의 260% 피해와 암흑 4중첩. 쿨타임 5턴.</x:t>
  </x:si>
  <x:si>
    <x:t xml:space="preserve">warrior_basic_body</x:t>
  </x:si>
  <x:si>
    <x:t xml:space="preserve">기초 체력 단련</x:t>
  </x:si>
  <x:si>
    <x:t xml:space="preserve">💪</x:t>
  </x:si>
  <x:si>
    <x:t xml:space="preserve">전사의 기본기는 체력이다. 체력 +2.</x:t>
  </x:si>
  <x:si>
    <x:t xml:space="preserve">warrior_basic_blade</x:t>
  </x:si>
  <x:si>
    <x:t xml:space="preserve">기초 검술</x:t>
  </x:si>
  <x:si>
    <x:t xml:space="preserve">🗡️</x:t>
  </x:si>
  <x:si>
    <x:t xml:space="preserve">검을 다루는 기본 자세이다. 힘 +1.</x:t>
  </x:si>
  <x:si>
    <x:t xml:space="preserve">warrior_basic_guard</x:t>
  </x:si>
  <x:si>
    <x:t xml:space="preserve">막기 훈련</x:t>
  </x:si>
  <x:si>
    <x:t xml:space="preserve">매 턴 상대의 공격을 막는다. 매 턴 보호막 3,6,9% 생성</x:t>
  </x:si>
  <x:si>
    <x:t xml:space="preserve">warrior_basic_strike</x:t>
  </x:si>
  <x:si>
    <x:t xml:space="preserve">전사의 일격</x:t>
  </x:si>
  <x:si>
    <x:t xml:space="preserve">⚔️</x:t>
  </x:si>
  <x:si>
    <x:t xml:space="preserve">현재 공격력의 150% 피해를 준다. 쿨타임 3턴.</x:t>
  </x:si>
  <x:si>
    <x:t xml:space="preserve">warrior_def_stance</x:t>
  </x:si>
  <x:si>
    <x:t xml:space="preserve">방어</x:t>
  </x:si>
  <x:si>
    <x:t xml:space="preserve">방어 태세</x:t>
  </x:si>
  <x:si>
    <x:t xml:space="preserve">방어의 태세, 최대 체력의 25% 보호막을 얻는다.</x:t>
  </x:si>
  <x:si>
    <x:t xml:space="preserve">warrior_weapon_mastery</x:t>
  </x:si>
  <x:si>
    <x:t xml:space="preserve">무기 숙련</x:t>
  </x:si>
  <x:si>
    <x:t xml:space="preserve">무기의 달인이 된다. 힘 +2.</x:t>
  </x:si>
  <x:si>
    <x:t xml:space="preserve">warrior_def_armor</x:t>
  </x:si>
  <x:si>
    <x:t xml:space="preserve">공세 갑옷</x:t>
  </x:si>
  <x:si>
    <x:t xml:space="preserve">🥋</x:t>
  </x:si>
  <x:si>
    <x:t xml:space="preserve">체력+3, 최대 체력의 2,4,6,8,10%만큼 기본 공격에 추가 데미지</x:t>
  </x:si>
  <x:si>
    <x:t xml:space="preserve">warrior_weapon_slash</x:t>
  </x:si>
  <x:si>
    <x:t xml:space="preserve">파쇄 일격</x:t>
  </x:si>
  <x:si>
    <x:t xml:space="preserve">warrior_def_resist</x:t>
  </x:si>
  <x:si>
    <x:t xml:space="preserve">불굴의 의지</x:t>
  </x:si>
  <x:si>
    <x:t xml:space="preserve">🔰</x:t>
  </x:si>
  <x:si>
    <x:t xml:space="preserve">상태 이상에 잘 걸리지 않는 전사의 의지. 20,40,60% 확률로 상태이상에서 깨어난다.</x:t>
  </x:si>
  <x:si>
    <x:t xml:space="preserve">warrior_weapon_rage</x:t>
  </x:si>
  <x:si>
    <x:t xml:space="preserve">전투의 대가</x:t>
  </x:si>
  <x:si>
    <x:t xml:space="preserve">전투의 대가로 성장한다. 힘 +2, 체력 +1.</x:t>
  </x:si>
  <x:si>
    <x:t xml:space="preserve">warrior_def_wall</x:t>
  </x:si>
  <x:si>
    <x:t xml:space="preserve">방패 돌진</x:t>
  </x:si>
  <x:si>
    <x:t xml:space="preserve">shieldBash</x:t>
  </x:si>
  <x:si>
    <x:t xml:space="preserve">최대 체력의 25% 보호막을 얻고 내 현재 보호막만큼의 피해를 준다. 쿨타임 4턴</x:t>
  </x:si>
  <x:si>
    <x:t xml:space="preserve">warrior_weapon_breaker</x:t>
  </x:si>
  <x:si>
    <x:t xml:space="preserve">더블 어택</x:t>
  </x:si>
  <x:si>
    <x:t xml:space="preserve">모든 일반 공격을 빠르게 두번씩 한다. 두번째는 감소된 데미지 (30/60/90%)</x:t>
  </x:si>
  <x:si>
    <x:t xml:space="preserve">warrior_def_bastion</x:t>
  </x:si>
  <x:si>
    <x:t xml:space="preserve">수호자의 맹세</x:t>
  </x:si>
  <x:si>
    <x:t xml:space="preserve">쓰러질 때, 다시 한번 회복해 일어나 싸운다. 쿨타임 10턴, 한 전투에서 두번 사용 불가</x:t>
  </x:si>
  <x:si>
    <x:t xml:space="preserve">warrior_weapon_judgment</x:t>
  </x:si>
  <x:si>
    <x:t xml:space="preserve">최후의 심판</x:t>
  </x:si>
  <x:si>
    <x:t xml:space="preserve">charge</x:t>
  </x:si>
  <x:si>
    <x:t xml:space="preserve">한 턴간 모은 후, 현재 공격력의 450% 피해. 쿨타임 5턴.</x:t>
  </x:si>
</x:sst>
</file>

<file path=xl/styles.xml><?xml version="1.0" encoding="utf-8"?>
<x:styleSheet xmlns:x="http://schemas.openxmlformats.org/spreadsheetml/2006/main">
  <x:numFmts count="3">
    <x:numFmt numFmtId="176" formatCode="0.0%"/>
    <x:numFmt numFmtId="200" formatCode="0%"/>
    <x:numFmt numFmtId="201" formatCode="0"/>
  </x:numFmts>
  <x:fonts count="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9365F"/>
      <x:name val="Carlito"/>
    </x:font>
    <x:font>
      <x:sz val="11"/>
      <x:color rgb="FF334155"/>
      <x:name val="Carlito"/>
    </x:font>
    <x:font>
      <x:b/>
      <x:sz val="11"/>
      <x:color rgb="FFFFFFFF"/>
      <x:name val="Carlito"/>
    </x:font>
    <x:font>
      <x:sz val="11"/>
      <x:color rgb="FF2F55D4"/>
      <x:name val="Carlito"/>
    </x:font>
    <x:font>
      <x:b/>
      <x:sz val="11"/>
      <x:color rgb="FF1F4E78"/>
      <x:name val="Carlito"/>
    </x:font>
    <x:font>
      <x:sz val="11"/>
      <x:name val="Carlito"/>
    </x:font>
    <x:font>
      <x:sz val="8"/>
      <x:name val="돋움"/>
    </x:font>
  </x:fonts>
  <x:fills count="16">
    <x:fill>
      <x:patternFill patternType="none"/>
    </x:fill>
    <x:fill>
      <x:patternFill patternType="gray125"/>
    </x:fill>
    <x:fill>
      <x:patternFill patternType="solid">
        <x:fgColor rgb="FF19365F"/>
      </x:patternFill>
    </x:fill>
    <x:fill>
      <x:patternFill patternType="solid">
        <x:fgColor rgb="FFD9EAF7"/>
      </x:patternFill>
    </x:fill>
    <x:fill>
      <x:patternFill patternType="solid">
        <x:fgColor rgb="FFE7E6E6"/>
      </x:patternFill>
    </x:fill>
    <x:fill>
      <x:patternFill patternType="solid">
        <x:fgColor rgb="FF1F3B64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theme="5" tint="0.79998"/>
      </x:patternFill>
    </x:fill>
    <x:fill>
      <x:patternFill patternType="solid">
        <x:fgColor rgb="FF1F3B64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DDEBF7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</x:fills>
  <x:borders count="6">
    <x:border/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top style="thin">
        <x:color rgb="FFD9E2EC"/>
      </x:top>
    </x:border>
    <x:border>
      <x:left style="thin">
        <x:color rgb="FFB8C4D6"/>
      </x:left>
      <x:right style="thin">
        <x:color rgb="FFB8C4D6"/>
      </x:right>
      <x:top style="thin">
        <x:color rgb="FFB8C4D6"/>
      </x:top>
      <x:bottom style="thin">
        <x:color rgb="FFB8C4D6"/>
      </x:bottom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</x:border>
  </x:borders>
  <x:cellStyleXfs count="2">
    <x:xf numFmtId="0" fontId="0" fillId="0" borderId="0"/>
    <x:xf numFmtId="0" fontId="7" fillId="0" borderId="0"/>
  </x:cellStyleXfs>
  <x:cellXfs count="92">
    <x:xf numFmtId="0" fontId="0" fillId="0" borderId="0" xfId="0"/>
    <x:xf numFmtId="0" fontId="2" fillId="3" borderId="0" xfId="1" applyFont="1" applyFill="1"/>
    <x:xf numFmtId="0" fontId="4" fillId="2" borderId="0" xfId="1" applyFont="1" applyFill="1" applyAlignment="1">
      <x:alignment horizontal="center" vertical="center" wrapText="1"/>
    </x:xf>
    <x:xf numFmtId="0" fontId="5" fillId="0" borderId="1" xfId="1" applyFont="1" applyBorder="1" applyAlignment="1">
      <x:alignment vertical="center" wrapText="1"/>
    </x:xf>
    <x:xf numFmtId="0" fontId="5" fillId="0" borderId="2" xfId="1" applyFont="1" applyBorder="1" applyAlignment="1">
      <x:alignment vertical="center" wrapText="1"/>
    </x:xf>
    <x:xf numFmtId="0" fontId="5" fillId="0" borderId="3" xfId="1" applyFont="1" applyBorder="1" applyAlignment="1">
      <x:alignment vertical="center" wrapText="1"/>
    </x:xf>
    <x:xf numFmtId="0" fontId="3" fillId="4" borderId="1" xfId="1" applyFont="1" applyFill="1" applyBorder="1" applyAlignment="1">
      <x:alignment vertical="center" wrapText="1"/>
    </x:xf>
    <x:xf numFmtId="0" fontId="3" fillId="4" borderId="2" xfId="1" applyFont="1" applyFill="1" applyBorder="1" applyAlignment="1">
      <x:alignment vertical="center" wrapText="1"/>
    </x:xf>
    <x:xf numFmtId="0" fontId="3" fillId="4" borderId="3" xfId="1" applyFont="1" applyFill="1" applyBorder="1" applyAlignment="1">
      <x:alignment vertical="center" wrapText="1"/>
    </x:xf>
    <x:xf numFmtId="176" fontId="5" fillId="0" borderId="1" xfId="1" applyNumberFormat="1" applyFont="1" applyBorder="1" applyAlignment="1">
      <x:alignment vertical="center" wrapText="1"/>
    </x:xf>
    <x:xf numFmtId="176" fontId="5" fillId="0" borderId="2" xfId="1" applyNumberFormat="1" applyFont="1" applyBorder="1" applyAlignment="1">
      <x:alignment vertical="center" wrapText="1"/>
    </x:xf>
    <x:xf numFmtId="176" fontId="5" fillId="0" borderId="3" xfId="1" applyNumberFormat="1" applyFont="1" applyBorder="1" applyAlignment="1">
      <x:alignment vertical="center" wrapText="1"/>
    </x:xf>
    <x:xf numFmtId="1" fontId="5" fillId="0" borderId="1" xfId="1" applyNumberFormat="1" applyFont="1" applyBorder="1" applyAlignment="1">
      <x:alignment vertical="center" wrapText="1"/>
    </x:xf>
    <x:xf numFmtId="1" fontId="5" fillId="0" borderId="2" xfId="1" applyNumberFormat="1" applyFont="1" applyBorder="1" applyAlignment="1">
      <x:alignment vertical="center" wrapText="1"/>
    </x:xf>
    <x:xf numFmtId="1" fontId="5" fillId="0" borderId="3" xfId="1" applyNumberFormat="1" applyFont="1" applyBorder="1" applyAlignment="1">
      <x:alignment vertical="center" wrapText="1"/>
    </x:xf>
    <x:xf numFmtId="0" fontId="4" fillId="5" borderId="4" xfId="1" applyFont="1" applyFill="1" applyBorder="1" applyAlignment="1">
      <x:alignment horizontal="center" vertical="center" wrapText="1"/>
    </x:xf>
    <x:xf numFmtId="0" fontId="3" fillId="4" borderId="5" xfId="1" applyFont="1" applyFill="1" applyBorder="1" applyAlignment="1">
      <x:alignment vertical="center" wrapText="1"/>
    </x:xf>
    <x:xf numFmtId="0" fontId="5" fillId="6" borderId="5" xfId="1" applyFont="1" applyFill="1" applyBorder="1" applyAlignment="1">
      <x:alignment vertical="center" wrapText="1"/>
    </x:xf>
    <x:xf numFmtId="176" fontId="5" fillId="6" borderId="5" xfId="1" applyNumberFormat="1" applyFont="1" applyFill="1" applyBorder="1" applyAlignment="1">
      <x:alignment vertical="center" wrapText="1"/>
    </x:xf>
    <x:xf numFmtId="0" fontId="6" fillId="7" borderId="5" xfId="1" applyFont="1" applyFill="1" applyBorder="1" applyAlignment="1">
      <x:alignment vertical="center" wrapText="1"/>
    </x:xf>
    <x:xf numFmtId="9" fontId="5" fillId="6" borderId="5" xfId="1" applyNumberFormat="1" applyFont="1" applyFill="1" applyBorder="1" applyAlignment="1">
      <x:alignment vertical="center" wrapText="1"/>
    </x:xf>
    <x:xf numFmtId="9" fontId="0" fillId="6" borderId="5" xfId="1" applyNumberFormat="1" applyFont="1" applyFill="1" applyBorder="1"/>
    <x:xf numFmtId="9" fontId="0" fillId="7" borderId="5" xfId="1" applyNumberFormat="1" applyFont="1" applyFill="1" applyBorder="1"/>
    <x:xf numFmtId="0" fontId="1" fillId="2" borderId="0" xfId="1" applyFont="1" applyFill="1" applyAlignment="1">
      <x:alignment vertical="center"/>
    </x:xf>
    <x:xf numFmtId="0" fontId="3" fillId="0" borderId="0" xfId="1" applyFont="1" applyAlignment="1">
      <x:alignment wrapText="1"/>
    </x:xf>
    <x:xf numFmtId="0" fontId="3" fillId="8" borderId="2" xfId="1" applyFont="1" applyFill="1" applyBorder="1" applyAlignment="1">
      <x:alignment vertical="center" wrapText="1"/>
    </x:xf>
    <x:xf numFmtId="0" fontId="5" fillId="8" borderId="2" xfId="1" applyFont="1" applyFill="1" applyBorder="1" applyAlignment="1">
      <x:alignment vertical="center" wrapText="1"/>
    </x:xf>
    <x:xf numFmtId="176" fontId="5" fillId="8" borderId="2" xfId="1" applyNumberFormat="1" applyFont="1" applyFill="1" applyBorder="1" applyAlignment="1">
      <x:alignment vertical="center" wrapText="1"/>
    </x:xf>
    <x:xf numFmtId="1" fontId="5" fillId="8" borderId="2" xfId="1" applyNumberFormat="1" applyFont="1" applyFill="1" applyBorder="1" applyAlignment="1">
      <x:alignment vertical="center" wrapText="1"/>
    </x:xf>
    <x:xf numFmtId="0" fontId="0" fillId="8" borderId="0" xfId="0" applyFill="1"/>
    <x:xf numFmtId="0" fontId="4" fillId="9" borderId="4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4" xfId="0" applyNumberFormat="1" applyFont="1" applyFill="1" applyBorder="1"/>
    <x:xf numFmtId="0" fontId="4" fillId="9" borderId="4" xfId="0" applyNumberFormat="1" applyFont="1" applyFill="1" applyBorder="1" applyAlignment="1">
      <x:alignment wrapText="1"/>
    </x:xf>
    <x:xf numFmtId="0" fontId="4" fillId="9" borderId="4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vertical="center" wrapText="1"/>
    </x:xf>
    <x:xf numFmtId="0" fontId="6" fillId="7" borderId="5" xfId="0" applyNumberFormat="1" applyFont="1" applyFill="1" applyBorder="1" applyAlignment="1">
      <x:alignment vertical="center" wrapText="1"/>
    </x:xf>
    <x:xf numFmtId="176" fontId="5" fillId="6" borderId="5" xfId="0" applyNumberFormat="1" applyFont="1" applyFill="1" applyBorder="1" applyAlignment="1">
      <x:alignment vertical="center" wrapText="1"/>
    </x:xf>
    <x:xf numFmtId="9" fontId="5" fillId="6" borderId="5" xfId="0" applyNumberFormat="1" applyFont="1" applyFill="1" applyBorder="1" applyAlignment="1">
      <x:alignment vertical="center" wrapText="1"/>
    </x:xf>
    <x:xf numFmtId="9" fontId="0" fillId="6" borderId="5" xfId="0" applyNumberFormat="1" applyFont="1" applyFill="1" applyBorder="1"/>
    <x:xf numFmtId="9" fontId="0" fillId="7" borderId="5" xfId="0" applyNumberFormat="1" applyFont="1" applyFill="1" applyBorder="1"/>
    <x:xf numFmtId="0" fontId="0" fillId="0" borderId="5" xfId="0" applyNumberFormat="1" applyFont="1" applyFill="1" applyBorder="1"/>
    <x:xf numFmtId="0" fontId="5" fillId="10" borderId="5" xfId="0" applyNumberFormat="1" applyFont="1" applyFill="1" applyBorder="1" applyAlignment="1">
      <x:alignment vertical="center" wrapText="1"/>
    </x:xf>
    <x:xf numFmtId="176" fontId="5" fillId="10" borderId="5" xfId="0" applyNumberFormat="1" applyFont="1" applyFill="1" applyBorder="1" applyAlignment="1">
      <x:alignment vertical="center" wrapText="1"/>
    </x:xf>
    <x:xf numFmtId="0" fontId="6" fillId="10" borderId="5" xfId="0" applyNumberFormat="1" applyFont="1" applyFill="1" applyBorder="1" applyAlignment="1">
      <x:alignment vertical="center" wrapText="1"/>
    </x:xf>
    <x:xf numFmtId="9" fontId="5" fillId="10" borderId="5" xfId="0" applyNumberFormat="1" applyFont="1" applyFill="1" applyBorder="1" applyAlignment="1">
      <x:alignment vertical="center" wrapText="1"/>
    </x:xf>
    <x:xf numFmtId="9" fontId="0" fillId="10" borderId="5" xfId="0" applyNumberFormat="1" applyFont="1" applyFill="1" applyBorder="1"/>
    <x:xf numFmtId="0" fontId="6" fillId="11" borderId="5" xfId="0" applyNumberFormat="1" applyFont="1" applyFill="1" applyBorder="1" applyAlignment="1">
      <x:alignment vertical="center" wrapText="1"/>
    </x:xf>
    <x:xf numFmtId="9" fontId="5" fillId="11" borderId="5" xfId="0" applyNumberFormat="1" applyFont="1" applyFill="1" applyBorder="1" applyAlignment="1">
      <x:alignment vertical="center" wrapText="1"/>
    </x:xf>
    <x:xf numFmtId="9" fontId="0" fillId="11" borderId="5" xfId="0" applyNumberFormat="1" applyFont="1" applyFill="1" applyBorder="1"/>
    <x:xf numFmtId="0" fontId="0" fillId="11" borderId="5" xfId="0" applyNumberFormat="1" applyFont="1" applyFill="1" applyBorder="1"/>
    <x:xf numFmtId="200" fontId="5" fillId="10" borderId="5" xfId="0" applyNumberFormat="1" applyFont="1" applyFill="1" applyBorder="1" applyAlignment="1">
      <x:alignment vertical="center" wrapText="1"/>
    </x:xf>
    <x:xf numFmtId="200" fontId="6" fillId="10" borderId="5" xfId="0" applyNumberFormat="1" applyFont="1" applyFill="1" applyBorder="1" applyAlignment="1">
      <x:alignment vertical="center" wrapText="1"/>
    </x:xf>
    <x:xf numFmtId="200" fontId="0" fillId="10" borderId="5" xfId="0" applyNumberFormat="1" applyFont="1" applyFill="1" applyBorder="1"/>
    <x:xf numFmtId="200" fontId="0" fillId="11" borderId="5" xfId="0" applyNumberFormat="1" applyFont="1" applyFill="1" applyBorder="1"/>
    <x:xf numFmtId="201" fontId="5" fillId="10" borderId="5" xfId="0" applyNumberFormat="1" applyFont="1" applyFill="1" applyBorder="1" applyAlignment="1">
      <x:alignment vertical="center" wrapText="1"/>
    </x:xf>
    <x:xf numFmtId="201" fontId="6" fillId="11" borderId="5" xfId="0" applyNumberFormat="1" applyFont="1" applyFill="1" applyBorder="1" applyAlignment="1">
      <x:alignment vertical="center" wrapText="1"/>
    </x:xf>
    <x:xf numFmtId="201" fontId="5" fillId="11" borderId="5" xfId="0" applyNumberFormat="1" applyFont="1" applyFill="1" applyBorder="1" applyAlignment="1">
      <x:alignment vertical="center" wrapText="1"/>
    </x:xf>
    <x:xf numFmtId="201" fontId="6" fillId="10" borderId="5" xfId="0" applyNumberFormat="1" applyFont="1" applyFill="1" applyBorder="1" applyAlignment="1">
      <x:alignment vertical="center" wrapText="1"/>
    </x:xf>
    <x:xf numFmtId="201" fontId="0" fillId="11" borderId="5" xfId="0" applyNumberFormat="1" applyFont="1" applyFill="1" applyBorder="1"/>
    <x:xf numFmtId="0" fontId="3" fillId="12" borderId="1" xfId="0" applyNumberFormat="1" applyFont="1" applyFill="1" applyBorder="1" applyAlignment="1">
      <x:alignment vertical="center" wrapText="1"/>
    </x:xf>
    <x:xf numFmtId="0" fontId="5" fillId="12" borderId="1" xfId="0" applyNumberFormat="1" applyFont="1" applyFill="1" applyBorder="1" applyAlignment="1">
      <x:alignment vertical="center" wrapText="1"/>
    </x:xf>
    <x:xf numFmtId="176" fontId="5" fillId="12" borderId="1" xfId="0" applyNumberFormat="1" applyFont="1" applyFill="1" applyBorder="1" applyAlignment="1">
      <x:alignment vertical="center" wrapText="1"/>
    </x:xf>
    <x:xf numFmtId="1" fontId="5" fillId="12" borderId="1" xfId="0" applyNumberFormat="1" applyFont="1" applyFill="1" applyBorder="1" applyAlignment="1">
      <x:alignment vertical="center" wrapText="1"/>
    </x:xf>
    <x:xf numFmtId="0" fontId="3" fillId="12" borderId="2" xfId="0" applyNumberFormat="1" applyFont="1" applyFill="1" applyBorder="1" applyAlignment="1">
      <x:alignment vertical="center" wrapText="1"/>
    </x:xf>
    <x:xf numFmtId="0" fontId="5" fillId="12" borderId="2" xfId="0" applyNumberFormat="1" applyFont="1" applyFill="1" applyBorder="1" applyAlignment="1">
      <x:alignment vertical="center" wrapText="1"/>
    </x:xf>
    <x:xf numFmtId="176" fontId="5" fillId="12" borderId="2" xfId="0" applyNumberFormat="1" applyFont="1" applyFill="1" applyBorder="1" applyAlignment="1">
      <x:alignment vertical="center" wrapText="1"/>
    </x:xf>
    <x:xf numFmtId="1" fontId="5" fillId="12" borderId="2" xfId="0" applyNumberFormat="1" applyFont="1" applyFill="1" applyBorder="1" applyAlignment="1">
      <x:alignment vertical="center" wrapText="1"/>
    </x:xf>
    <x:xf numFmtId="0" fontId="3" fillId="13" borderId="2" xfId="0" applyNumberFormat="1" applyFont="1" applyFill="1" applyBorder="1" applyAlignment="1">
      <x:alignment vertical="center" wrapText="1"/>
    </x:xf>
    <x:xf numFmtId="0" fontId="5" fillId="13" borderId="2" xfId="0" applyNumberFormat="1" applyFont="1" applyFill="1" applyBorder="1" applyAlignment="1">
      <x:alignment vertical="center" wrapText="1"/>
    </x:xf>
    <x:xf numFmtId="176" fontId="5" fillId="13" borderId="2" xfId="0" applyNumberFormat="1" applyFont="1" applyFill="1" applyBorder="1" applyAlignment="1">
      <x:alignment vertical="center" wrapText="1"/>
    </x:xf>
    <x:xf numFmtId="1" fontId="5" fillId="13" borderId="2" xfId="0" applyNumberFormat="1" applyFont="1" applyFill="1" applyBorder="1" applyAlignment="1">
      <x:alignment vertical="center" wrapText="1"/>
    </x:xf>
    <x:xf numFmtId="0" fontId="3" fillId="14" borderId="2" xfId="0" applyNumberFormat="1" applyFont="1" applyFill="1" applyBorder="1" applyAlignment="1">
      <x:alignment vertical="center" wrapText="1"/>
    </x:xf>
    <x:xf numFmtId="0" fontId="5" fillId="14" borderId="2" xfId="0" applyNumberFormat="1" applyFont="1" applyFill="1" applyBorder="1" applyAlignment="1">
      <x:alignment vertical="center" wrapText="1"/>
    </x:xf>
    <x:xf numFmtId="176" fontId="5" fillId="14" borderId="2" xfId="0" applyNumberFormat="1" applyFont="1" applyFill="1" applyBorder="1" applyAlignment="1">
      <x:alignment vertical="center" wrapText="1"/>
    </x:xf>
    <x:xf numFmtId="1" fontId="5" fillId="14" borderId="2" xfId="0" applyNumberFormat="1" applyFont="1" applyFill="1" applyBorder="1" applyAlignment="1">
      <x:alignment vertical="center" wrapText="1"/>
    </x:xf>
    <x:xf numFmtId="0" fontId="3" fillId="10" borderId="2" xfId="0" applyNumberFormat="1" applyFont="1" applyFill="1" applyBorder="1" applyAlignment="1">
      <x:alignment vertical="center" wrapText="1"/>
    </x:xf>
    <x:xf numFmtId="0" fontId="5" fillId="10" borderId="2" xfId="0" applyNumberFormat="1" applyFont="1" applyFill="1" applyBorder="1" applyAlignment="1">
      <x:alignment vertical="center" wrapText="1"/>
    </x:xf>
    <x:xf numFmtId="176" fontId="5" fillId="10" borderId="2" xfId="0" applyNumberFormat="1" applyFont="1" applyFill="1" applyBorder="1" applyAlignment="1">
      <x:alignment vertical="center" wrapText="1"/>
    </x:xf>
    <x:xf numFmtId="1" fontId="5" fillId="10" borderId="2" xfId="0" applyNumberFormat="1" applyFont="1" applyFill="1" applyBorder="1" applyAlignment="1">
      <x:alignment vertical="center" wrapText="1"/>
    </x:xf>
    <x:xf numFmtId="0" fontId="3" fillId="15" borderId="2" xfId="0" applyNumberFormat="1" applyFont="1" applyFill="1" applyBorder="1" applyAlignment="1">
      <x:alignment vertical="center" wrapText="1"/>
    </x:xf>
    <x:xf numFmtId="0" fontId="5" fillId="15" borderId="2" xfId="0" applyNumberFormat="1" applyFont="1" applyFill="1" applyBorder="1" applyAlignment="1">
      <x:alignment vertical="center" wrapText="1"/>
    </x:xf>
    <x:xf numFmtId="176" fontId="5" fillId="15" borderId="2" xfId="0" applyNumberFormat="1" applyFont="1" applyFill="1" applyBorder="1" applyAlignment="1">
      <x:alignment vertical="center" wrapText="1"/>
    </x:xf>
    <x:xf numFmtId="1" fontId="5" fillId="15" borderId="2" xfId="0" applyNumberFormat="1" applyFont="1" applyFill="1" applyBorder="1" applyAlignment="1">
      <x:alignment vertical="center" wrapText="1"/>
    </x:xf>
    <x:xf numFmtId="0" fontId="3" fillId="14" borderId="3" xfId="0" applyNumberFormat="1" applyFont="1" applyFill="1" applyBorder="1" applyAlignment="1">
      <x:alignment vertical="center" wrapText="1"/>
    </x:xf>
    <x:xf numFmtId="0" fontId="5" fillId="14" borderId="3" xfId="0" applyNumberFormat="1" applyFont="1" applyFill="1" applyBorder="1" applyAlignment="1">
      <x:alignment vertical="center" wrapText="1"/>
    </x:xf>
    <x:xf numFmtId="176" fontId="5" fillId="14" borderId="3" xfId="0" applyNumberFormat="1" applyFont="1" applyFill="1" applyBorder="1" applyAlignment="1">
      <x:alignment vertical="center" wrapText="1"/>
    </x:xf>
    <x:xf numFmtId="1" fontId="5" fillId="14" borderId="3" xfId="0" applyNumberFormat="1" applyFont="1" applyFill="1" applyBorder="1" applyAlignment="1">
      <x:alignment vertical="center"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wrapText="1"/>
    </x:xf>
  </x:cellXfs>
  <x:cellStyles count="2">
    <x:cellStyle name="Normal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551d6fd2614770" /><Relationship Type="http://schemas.openxmlformats.org/officeDocument/2006/relationships/theme" Target="/xl/theme/theme1.xml" Id="R845b8befd9ab4e61" /><Relationship Type="http://schemas.openxmlformats.org/officeDocument/2006/relationships/sharedStrings" Target="/xl/sharedStrings.xml" Id="R05664085189c43ef" /><Relationship Type="http://schemas.openxmlformats.org/officeDocument/2006/relationships/worksheet" Target="/xl/worksheets/sheet1.xml" Id="R6dae0550e9104375" /><Relationship Type="http://schemas.openxmlformats.org/officeDocument/2006/relationships/worksheet" Target="/xl/worksheets/sheet2.xml" Id="R22720fabb8534c80" /><Relationship Type="http://schemas.openxmlformats.org/officeDocument/2006/relationships/worksheet" Target="/xl/worksheets/sheet3.xml" Id="R5a51ce9246874114" /><Relationship Type="http://schemas.openxmlformats.org/officeDocument/2006/relationships/worksheet" Target="/xl/worksheets/sheet4.xml" Id="R30a4903ab01b4312" /><Relationship Type="http://schemas.openxmlformats.org/officeDocument/2006/relationships/worksheet" Target="/xl/worksheets/sheet5.xml" Id="R9e85e92132de4d28" /><Relationship Type="http://schemas.openxmlformats.org/officeDocument/2006/relationships/worksheet" Target="/xl/worksheets/sheet6.xml" Id="R314b8538a9f545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53.1640625" customWidth="1"/>
    <x:col min="2" max="2" width="62.5" customWidth="1"/>
  </x:cols>
  <x:sheetData>
    <x:row r="1" ht="12.75" customHeight="1">
      <x:c r="A1" s="23" t="s">
        <x:v>0</x:v>
      </x:c>
      <x:c r="B1" s="23"/>
      <x:c r="C1" s="23"/>
      <x:c r="D1" s="23"/>
      <x:c r="E1" s="23"/>
      <x:c r="F1" s="23"/>
    </x:row>
    <x:row r="3" ht="10" customHeight="1">
      <x:c r="A3" s="1" t="s">
        <x:v>1</x:v>
      </x:c>
      <x:c r="B3" s="24" t="s">
        <x:v>2</x:v>
      </x:c>
      <x:c r="C3" s="24"/>
      <x:c r="D3" s="24"/>
      <x:c r="E3" s="24"/>
      <x:c r="F3" s="24"/>
    </x:row>
    <x:row r="4" ht="10" customHeight="1">
      <x:c r="A4" s="1" t="s">
        <x:v>3</x:v>
      </x:c>
      <x:c r="B4" s="24" t="s">
        <x:v>4</x:v>
      </x:c>
      <x:c r="C4" s="24"/>
      <x:c r="D4" s="24"/>
      <x:c r="E4" s="24"/>
      <x:c r="F4" s="24"/>
    </x:row>
    <x:row r="5" ht="10" customHeight="1">
      <x:c r="A5" s="1" t="s">
        <x:v>5</x:v>
      </x:c>
      <x:c r="B5" s="24" t="s">
        <x:v>6</x:v>
      </x:c>
      <x:c r="C5" s="24"/>
      <x:c r="D5" s="24"/>
      <x:c r="E5" s="24"/>
      <x:c r="F5" s="24"/>
    </x:row>
    <x:row r="6" ht="17.649999618530273" customHeight="1">
      <x:c r="A6" s="1" t="s">
        <x:v>7</x:v>
      </x:c>
      <x:c r="B6" s="24" t="s">
        <x:v>8</x:v>
      </x:c>
      <x:c r="C6" s="24"/>
      <x:c r="D6" s="24"/>
      <x:c r="E6" s="24"/>
      <x:c r="F6" s="24"/>
    </x:row>
    <x:row r="7" ht="26.399999618530273" hidden="0" customHeight="1">
      <x:c r="A7" s="1" t="s">
        <x:v>9</x:v>
      </x:c>
      <x:c r="B7" s="91" t="str">
        <x:v>모든 기본 공격과 스킬의 기본 치명타 확률은 15%, 치명타 피해는 150%입니다. 화염 집중은 랭크별로 25/35/45%, 불씨 증폭은 스킬 치명타 피해를 170/190/210%로 올립니다.</x:v>
      </x:c>
      <x:c r="C7" s="24"/>
      <x:c r="D7" s="24"/>
      <x:c r="E7" s="24"/>
      <x:c r="F7" s="24"/>
    </x:row>
    <x:row r="8" ht="17.649999618530273" customHeight="1">
      <x:c r="A8" s="1" t="s">
        <x:v>10</x:v>
      </x:c>
      <x:c r="B8" s="24" t="s">
        <x:v>11</x:v>
      </x:c>
      <x:c r="C8" s="24"/>
      <x:c r="D8" s="24"/>
      <x:c r="E8" s="24"/>
      <x:c r="F8" s="24"/>
    </x:row>
    <x:row r="9" ht="17.649999618530273" customHeight="1">
      <x:c r="A9" s="1" t="s">
        <x:v>12</x:v>
      </x:c>
      <x:c r="B9" s="24" t="s">
        <x:v>13</x:v>
      </x:c>
      <x:c r="C9" s="24"/>
      <x:c r="D9" s="24"/>
      <x:c r="E9" s="24"/>
      <x:c r="F9" s="24"/>
    </x:row>
    <x:row r="10" ht="17.649999618530273" customHeight="1">
      <x:c r="A10" s="1" t="s">
        <x:v>14</x:v>
      </x:c>
      <x:c r="B10" s="24" t="s">
        <x:v>15</x:v>
      </x:c>
      <x:c r="C10" s="24"/>
      <x:c r="D10" s="24"/>
      <x:c r="E10" s="24"/>
      <x:c r="F10" s="24"/>
    </x:row>
  </x:sheetData>
  <x:mergeCells>
    <x:mergeCell ref="B7:F7"/>
    <x:mergeCell ref="B8:F8"/>
    <x:mergeCell ref="B9:F9"/>
    <x:mergeCell ref="B10:F10"/>
    <x:mergeCell ref="A1:F1"/>
    <x:mergeCell ref="B3:F3"/>
    <x:mergeCell ref="B4:F4"/>
    <x:mergeCell ref="B5:F5"/>
    <x:mergeCell ref="B6:F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4.4140625" customWidth="1"/>
    <x:col min="2" max="2" width="4.25" customWidth="1"/>
    <x:col min="3" max="3" width="6" customWidth="1"/>
    <x:col min="4" max="4" width="13.75" customWidth="1"/>
    <x:col min="5" max="6" width="9" customWidth="1"/>
    <x:col min="7" max="7" width="7.9140625" customWidth="1"/>
    <x:col min="8" max="8" width="2.4140625" customWidth="1"/>
    <x:col min="9" max="11" width="4.25" customWidth="1"/>
    <x:col min="12" max="12" width="6.5" customWidth="1"/>
    <x:col min="13" max="15" width="8.25" customWidth="1"/>
    <x:col min="16" max="16" width="14.5" customWidth="1"/>
    <x:col min="17" max="17" width="52" customWidth="1"/>
  </x:cols>
  <x:sheetData>
    <x:row r="1" ht="15" customHeight="1">
      <x:c r="A1" s="2" t="s">
        <x:v>16</x:v>
      </x:c>
      <x:c r="B1" s="2" t="s">
        <x:v>17</x:v>
      </x:c>
      <x:c r="C1" s="2" t="s">
        <x:v>18</x:v>
      </x:c>
      <x:c r="D1" s="2" t="s">
        <x:v>19</x:v>
      </x:c>
      <x:c r="E1" s="2" t="s">
        <x:v>20</x:v>
      </x:c>
      <x:c r="F1" s="2" t="s">
        <x:v>21</x:v>
      </x:c>
      <x:c r="G1" s="2" t="s">
        <x:v>22</x:v>
      </x:c>
      <x:c r="H1" s="2" t="s">
        <x:v>23</x:v>
      </x:c>
      <x:c r="I1" s="2" t="s">
        <x:v>24</x:v>
      </x:c>
      <x:c r="J1" s="2" t="s">
        <x:v>25</x:v>
      </x:c>
      <x:c r="K1" s="2" t="s">
        <x:v>26</x:v>
      </x:c>
      <x:c r="L1" s="2" t="s">
        <x:v>27</x:v>
      </x:c>
      <x:c r="M1" s="2" t="s">
        <x:v>28</x:v>
      </x:c>
      <x:c r="N1" s="2" t="s">
        <x:v>29</x:v>
      </x:c>
      <x:c r="O1" s="2" t="s">
        <x:v>30</x:v>
      </x:c>
      <x:c r="P1" s="2" t="s">
        <x:v>31</x:v>
      </x:c>
      <x:c r="Q1" s="2" t="s">
        <x:v>32</x:v>
      </x:c>
    </x:row>
    <x:row r="2" ht="15" customHeight="1">
      <x:c r="A2" s="6" t="s">
        <x:v>33</x:v>
      </x:c>
      <x:c r="B2" s="3" t="s">
        <x:v>34</x:v>
      </x:c>
      <x:c r="C2" s="3" t="s">
        <x:v>35</x:v>
      </x:c>
      <x:c r="D2" s="3" t="s">
        <x:v>36</x:v>
      </x:c>
      <x:c r="E2" s="3">
        <x:v>30</x:v>
      </x:c>
      <x:c r="F2" s="3"/>
      <x:c r="G2" s="3"/>
      <x:c r="H2" s="3">
        <x:v>2</x:v>
      </x:c>
      <x:c r="I2" s="3"/>
      <x:c r="J2" s="3"/>
      <x:c r="K2" s="3">
        <x:v>1</x:v>
      </x:c>
      <x:c r="L2" s="3"/>
      <x:c r="M2" s="3"/>
      <x:c r="N2" s="3"/>
      <x:c r="O2" s="3"/>
      <x:c r="P2" s="3" t="s">
        <x:v>37</x:v>
      </x:c>
      <x:c r="Q2" s="3" t="s">
        <x:v>38</x:v>
      </x:c>
    </x:row>
    <x:row r="3" ht="15" customHeight="1">
      <x:c r="A3" s="7" t="s">
        <x:v>39</x:v>
      </x:c>
      <x:c r="B3" s="4" t="s">
        <x:v>34</x:v>
      </x:c>
      <x:c r="C3" s="4" t="s">
        <x:v>35</x:v>
      </x:c>
      <x:c r="D3" s="4" t="s">
        <x:v>40</x:v>
      </x:c>
      <x:c r="E3" s="4">
        <x:v>70</x:v>
      </x:c>
      <x:c r="F3" s="4"/>
      <x:c r="G3" s="4">
        <x:v>3</x:v>
      </x:c>
      <x:c r="H3" s="4">
        <x:v>4</x:v>
      </x:c>
      <x:c r="I3" s="4"/>
      <x:c r="J3" s="4"/>
      <x:c r="K3" s="4">
        <x:v>1</x:v>
      </x:c>
      <x:c r="L3" s="4"/>
      <x:c r="M3" s="4"/>
      <x:c r="N3" s="4"/>
      <x:c r="O3" s="4"/>
      <x:c r="P3" s="4" t="s">
        <x:v>41</x:v>
      </x:c>
      <x:c r="Q3" s="4" t="s">
        <x:v>42</x:v>
      </x:c>
    </x:row>
    <x:row r="4" ht="15" customHeight="1">
      <x:c r="A4" s="7" t="s">
        <x:v>43</x:v>
      </x:c>
      <x:c r="B4" s="4" t="s">
        <x:v>34</x:v>
      </x:c>
      <x:c r="C4" s="4" t="s">
        <x:v>35</x:v>
      </x:c>
      <x:c r="D4" s="4" t="s">
        <x:v>44</x:v>
      </x:c>
      <x:c r="E4" s="4">
        <x:v>160</x:v>
      </x:c>
      <x:c r="F4" s="4"/>
      <x:c r="G4" s="4">
        <x:v>6</x:v>
      </x:c>
      <x:c r="H4" s="4">
        <x:v>6</x:v>
      </x:c>
      <x:c r="I4" s="4"/>
      <x:c r="J4" s="4"/>
      <x:c r="K4" s="4">
        <x:v>2</x:v>
      </x:c>
      <x:c r="L4" s="4"/>
      <x:c r="M4" s="4"/>
      <x:c r="N4" s="4"/>
      <x:c r="O4" s="4"/>
      <x:c r="P4" s="4" t="s">
        <x:v>43</x:v>
      </x:c>
      <x:c r="Q4" s="4" t="s">
        <x:v>45</x:v>
      </x:c>
    </x:row>
    <x:row r="5" ht="15" customHeight="1">
      <x:c r="A5" s="7" t="s">
        <x:v>41</x:v>
      </x:c>
      <x:c r="B5" s="4" t="s">
        <x:v>34</x:v>
      </x:c>
      <x:c r="C5" s="4" t="s">
        <x:v>35</x:v>
      </x:c>
      <x:c r="D5" s="4" t="s">
        <x:v>46</x:v>
      </x:c>
      <x:c r="E5" s="4">
        <x:v>320</x:v>
      </x:c>
      <x:c r="F5" s="4"/>
      <x:c r="G5" s="4">
        <x:v>9</x:v>
      </x:c>
      <x:c r="H5" s="4">
        <x:v>9</x:v>
      </x:c>
      <x:c r="I5" s="4"/>
      <x:c r="J5" s="4"/>
      <x:c r="K5" s="4">
        <x:v>3</x:v>
      </x:c>
      <x:c r="L5" s="4"/>
      <x:c r="M5" s="4"/>
      <x:c r="N5" s="4"/>
      <x:c r="O5" s="4"/>
      <x:c r="P5" s="4" t="s">
        <x:v>41</x:v>
      </x:c>
      <x:c r="Q5" s="4" t="s">
        <x:v>47</x:v>
      </x:c>
    </x:row>
    <x:row r="6" ht="15" customHeight="1">
      <x:c r="A6" s="7" t="s">
        <x:v>48</x:v>
      </x:c>
      <x:c r="B6" s="4" t="s">
        <x:v>34</x:v>
      </x:c>
      <x:c r="C6" s="4" t="s">
        <x:v>49</x:v>
      </x:c>
      <x:c r="D6" s="4" t="s">
        <x:v>50</x:v>
      </x:c>
      <x:c r="E6" s="4">
        <x:v>30</x:v>
      </x:c>
      <x:c r="F6" s="4"/>
      <x:c r="G6" s="4"/>
      <x:c r="H6" s="4"/>
      <x:c r="I6" s="4">
        <x:v>3</x:v>
      </x:c>
      <x:c r="J6" s="4"/>
      <x:c r="K6" s="4"/>
      <x:c r="L6" s="4"/>
      <x:c r="M6" s="4"/>
      <x:c r="N6" s="4"/>
      <x:c r="O6" s="4"/>
      <x:c r="P6" s="4"/>
      <x:c r="Q6" s="4" t="s">
        <x:v>51</x:v>
      </x:c>
    </x:row>
    <x:row r="7" ht="15" customHeight="1">
      <x:c r="A7" s="7" t="s">
        <x:v>52</x:v>
      </x:c>
      <x:c r="B7" s="4" t="s">
        <x:v>34</x:v>
      </x:c>
      <x:c r="C7" s="4" t="s">
        <x:v>53</x:v>
      </x:c>
      <x:c r="D7" s="4" t="s">
        <x:v>54</x:v>
      </x:c>
      <x:c r="E7" s="4">
        <x:v>30</x:v>
      </x:c>
      <x:c r="F7" s="4"/>
      <x:c r="G7" s="4"/>
      <x:c r="H7" s="4"/>
      <x:c r="I7" s="4"/>
      <x:c r="J7" s="4">
        <x:v>3</x:v>
      </x:c>
      <x:c r="K7" s="4"/>
      <x:c r="L7" s="4"/>
      <x:c r="M7" s="4"/>
      <x:c r="N7" s="4"/>
      <x:c r="O7" s="4"/>
      <x:c r="P7" s="4"/>
      <x:c r="Q7" s="4" t="s">
        <x:v>55</x:v>
      </x:c>
    </x:row>
    <x:row r="8" ht="15" customHeight="1">
      <x:c r="A8" s="7" t="s">
        <x:v>56</x:v>
      </x:c>
      <x:c r="B8" s="4" t="s">
        <x:v>34</x:v>
      </x:c>
      <x:c r="C8" s="4" t="s">
        <x:v>49</x:v>
      </x:c>
      <x:c r="D8" s="4" t="s">
        <x:v>57</x:v>
      </x:c>
      <x:c r="E8" s="4">
        <x:v>70</x:v>
      </x:c>
      <x:c r="F8" s="4"/>
      <x:c r="G8" s="4">
        <x:v>3</x:v>
      </x:c>
      <x:c r="H8" s="4"/>
      <x:c r="I8" s="4">
        <x:v>5</x:v>
      </x:c>
      <x:c r="J8" s="4"/>
      <x:c r="K8" s="4"/>
      <x:c r="L8" s="4"/>
      <x:c r="M8" s="4"/>
      <x:c r="N8" s="4"/>
      <x:c r="O8" s="4"/>
      <x:c r="P8" s="4" t="s">
        <x:v>56</x:v>
      </x:c>
      <x:c r="Q8" s="4" t="s">
        <x:v>58</x:v>
      </x:c>
    </x:row>
    <x:row r="9" ht="15" customHeight="1">
      <x:c r="A9" s="7" t="s">
        <x:v>59</x:v>
      </x:c>
      <x:c r="B9" s="4" t="s">
        <x:v>34</x:v>
      </x:c>
      <x:c r="C9" s="4" t="s">
        <x:v>49</x:v>
      </x:c>
      <x:c r="D9" s="4" t="s">
        <x:v>60</x:v>
      </x:c>
      <x:c r="E9" s="4">
        <x:v>160</x:v>
      </x:c>
      <x:c r="F9" s="4"/>
      <x:c r="G9" s="4">
        <x:v>6</x:v>
      </x:c>
      <x:c r="H9" s="4"/>
      <x:c r="I9" s="4">
        <x:v>7</x:v>
      </x:c>
      <x:c r="J9" s="4"/>
      <x:c r="K9" s="4"/>
      <x:c r="L9" s="4"/>
      <x:c r="M9" s="4"/>
      <x:c r="N9" s="4"/>
      <x:c r="O9" s="4"/>
      <x:c r="P9" s="4" t="s">
        <x:v>59</x:v>
      </x:c>
      <x:c r="Q9" s="4" t="s">
        <x:v>61</x:v>
      </x:c>
    </x:row>
    <x:row r="10" ht="15" customHeight="1">
      <x:c r="A10" s="7" t="s">
        <x:v>62</x:v>
      </x:c>
      <x:c r="B10" s="4" t="s">
        <x:v>34</x:v>
      </x:c>
      <x:c r="C10" s="4" t="s">
        <x:v>49</x:v>
      </x:c>
      <x:c r="D10" s="4" t="s">
        <x:v>63</x:v>
      </x:c>
      <x:c r="E10" s="4">
        <x:v>320</x:v>
      </x:c>
      <x:c r="F10" s="4"/>
      <x:c r="G10" s="4">
        <x:v>9</x:v>
      </x:c>
      <x:c r="H10" s="4"/>
      <x:c r="I10" s="4">
        <x:v>10</x:v>
      </x:c>
      <x:c r="J10" s="4"/>
      <x:c r="K10" s="4"/>
      <x:c r="L10" s="4"/>
      <x:c r="M10" s="4"/>
      <x:c r="N10" s="4"/>
      <x:c r="O10" s="4"/>
      <x:c r="P10" s="4" t="s">
        <x:v>62</x:v>
      </x:c>
      <x:c r="Q10" s="4" t="s">
        <x:v>64</x:v>
      </x:c>
    </x:row>
    <x:row r="11" ht="15" customHeight="1">
      <x:c r="A11" s="7" t="s">
        <x:v>65</x:v>
      </x:c>
      <x:c r="B11" s="4" t="s">
        <x:v>34</x:v>
      </x:c>
      <x:c r="C11" s="4" t="s">
        <x:v>53</x:v>
      </x:c>
      <x:c r="D11" s="4" t="s">
        <x:v>66</x:v>
      </x:c>
      <x:c r="E11" s="4">
        <x:v>70</x:v>
      </x:c>
      <x:c r="F11" s="4"/>
      <x:c r="G11" s="4">
        <x:v>3</x:v>
      </x:c>
      <x:c r="H11" s="4"/>
      <x:c r="I11" s="4"/>
      <x:c r="J11" s="4">
        <x:v>5</x:v>
      </x:c>
      <x:c r="K11" s="4"/>
      <x:c r="L11" s="4"/>
      <x:c r="M11" s="4"/>
      <x:c r="N11" s="4"/>
      <x:c r="O11" s="4"/>
      <x:c r="P11" s="4" t="s">
        <x:v>65</x:v>
      </x:c>
      <x:c r="Q11" s="4" t="s">
        <x:v>67</x:v>
      </x:c>
    </x:row>
    <x:row r="12" ht="15" customHeight="1">
      <x:c r="A12" s="7" t="s">
        <x:v>68</x:v>
      </x:c>
      <x:c r="B12" s="4" t="s">
        <x:v>34</x:v>
      </x:c>
      <x:c r="C12" s="4" t="s">
        <x:v>53</x:v>
      </x:c>
      <x:c r="D12" s="4" t="s">
        <x:v>69</x:v>
      </x:c>
      <x:c r="E12" s="4">
        <x:v>160</x:v>
      </x:c>
      <x:c r="F12" s="4"/>
      <x:c r="G12" s="4">
        <x:v>6</x:v>
      </x:c>
      <x:c r="H12" s="4"/>
      <x:c r="I12" s="4"/>
      <x:c r="J12" s="4">
        <x:v>7</x:v>
      </x:c>
      <x:c r="K12" s="4"/>
      <x:c r="L12" s="4"/>
      <x:c r="M12" s="4"/>
      <x:c r="N12" s="4"/>
      <x:c r="O12" s="4"/>
      <x:c r="P12" s="4" t="s">
        <x:v>68</x:v>
      </x:c>
      <x:c r="Q12" s="4" t="s">
        <x:v>70</x:v>
      </x:c>
    </x:row>
    <x:row r="13" ht="15" customHeight="1">
      <x:c r="A13" s="8" t="s">
        <x:v>71</x:v>
      </x:c>
      <x:c r="B13" s="5" t="s">
        <x:v>34</x:v>
      </x:c>
      <x:c r="C13" s="5" t="s">
        <x:v>53</x:v>
      </x:c>
      <x:c r="D13" s="5" t="s">
        <x:v>72</x:v>
      </x:c>
      <x:c r="E13" s="5">
        <x:v>320</x:v>
      </x:c>
      <x:c r="F13" s="5"/>
      <x:c r="G13" s="5">
        <x:v>9</x:v>
      </x:c>
      <x:c r="H13" s="5"/>
      <x:c r="I13" s="5"/>
      <x:c r="J13" s="5">
        <x:v>10</x:v>
      </x:c>
      <x:c r="K13" s="5"/>
      <x:c r="L13" s="5"/>
      <x:c r="M13" s="5"/>
      <x:c r="N13" s="5"/>
      <x:c r="O13" s="5"/>
      <x:c r="P13" s="5" t="s">
        <x:v>71</x:v>
      </x:c>
      <x:c r="Q13" s="5" t="s">
        <x:v>73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2.5" customWidth="1"/>
    <x:col min="2" max="2" width="4.25" customWidth="1"/>
    <x:col min="3" max="3" width="6" customWidth="1"/>
    <x:col min="4" max="4" width="17.9140625" customWidth="1"/>
    <x:col min="5" max="6" width="9" customWidth="1"/>
    <x:col min="7" max="7" width="7.9140625" customWidth="1"/>
    <x:col min="8" max="8" width="2.4140625" customWidth="1"/>
    <x:col min="9" max="11" width="4.25" customWidth="1"/>
    <x:col min="12" max="12" width="6.5" customWidth="1"/>
    <x:col min="13" max="15" width="8.25" customWidth="1"/>
    <x:col min="16" max="16" width="8.9140625" customWidth="1"/>
    <x:col min="17" max="17" width="45.75" customWidth="1"/>
  </x:cols>
  <x:sheetData>
    <x:row r="1" ht="15" customHeight="1">
      <x:c r="A1" s="2" t="s">
        <x:v>16</x:v>
      </x:c>
      <x:c r="B1" s="2" t="s">
        <x:v>17</x:v>
      </x:c>
      <x:c r="C1" s="2" t="s">
        <x:v>18</x:v>
      </x:c>
      <x:c r="D1" s="2" t="s">
        <x:v>19</x:v>
      </x:c>
      <x:c r="E1" s="2" t="s">
        <x:v>20</x:v>
      </x:c>
      <x:c r="F1" s="2" t="s">
        <x:v>21</x:v>
      </x:c>
      <x:c r="G1" s="2" t="s">
        <x:v>22</x:v>
      </x:c>
      <x:c r="H1" s="2" t="s">
        <x:v>23</x:v>
      </x:c>
      <x:c r="I1" s="2" t="s">
        <x:v>24</x:v>
      </x:c>
      <x:c r="J1" s="2" t="s">
        <x:v>25</x:v>
      </x:c>
      <x:c r="K1" s="2" t="s">
        <x:v>26</x:v>
      </x:c>
      <x:c r="L1" s="2" t="s">
        <x:v>27</x:v>
      </x:c>
      <x:c r="M1" s="2" t="s">
        <x:v>28</x:v>
      </x:c>
      <x:c r="N1" s="2" t="s">
        <x:v>29</x:v>
      </x:c>
      <x:c r="O1" s="2" t="s">
        <x:v>30</x:v>
      </x:c>
      <x:c r="P1" s="2" t="s">
        <x:v>31</x:v>
      </x:c>
      <x:c r="Q1" s="2" t="s">
        <x:v>32</x:v>
      </x:c>
    </x:row>
    <x:row r="2" ht="15" customHeight="1">
      <x:c r="A2" s="6" t="s">
        <x:v>74</x:v>
      </x:c>
      <x:c r="B2" s="3" t="s">
        <x:v>75</x:v>
      </x:c>
      <x:c r="C2" s="3" t="s">
        <x:v>76</x:v>
      </x:c>
      <x:c r="D2" s="3" t="s">
        <x:v>77</x:v>
      </x:c>
      <x:c r="E2" s="3"/>
      <x:c r="F2" s="3"/>
      <x:c r="G2" s="3"/>
      <x:c r="H2" s="3"/>
      <x:c r="I2" s="3"/>
      <x:c r="J2" s="3"/>
      <x:c r="K2" s="3">
        <x:v>1</x:v>
      </x:c>
      <x:c r="L2" s="3"/>
      <x:c r="M2" s="3"/>
      <x:c r="N2" s="3"/>
      <x:c r="O2" s="3"/>
      <x:c r="P2" s="3" t="s">
        <x:v>78</x:v>
      </x:c>
      <x:c r="Q2" s="3" t="s">
        <x:v>79</x:v>
      </x:c>
    </x:row>
    <x:row r="3" ht="15" customHeight="1">
      <x:c r="A3" s="7" t="s">
        <x:v>80</x:v>
      </x:c>
      <x:c r="B3" s="4" t="s">
        <x:v>81</x:v>
      </x:c>
      <x:c r="C3" s="4" t="s">
        <x:v>76</x:v>
      </x:c>
      <x:c r="D3" s="4" t="s">
        <x:v>82</x:v>
      </x:c>
      <x:c r="E3" s="4">
        <x:v>20</x:v>
      </x:c>
      <x:c r="F3" s="4"/>
      <x:c r="G3" s="4"/>
      <x:c r="H3" s="4"/>
      <x:c r="I3" s="4"/>
      <x:c r="J3" s="4"/>
      <x:c r="K3" s="4">
        <x:v>1</x:v>
      </x:c>
      <x:c r="L3" s="4"/>
      <x:c r="M3" s="4"/>
      <x:c r="N3" s="4"/>
      <x:c r="O3" s="4"/>
      <x:c r="P3" s="4" t="s">
        <x:v>83</x:v>
      </x:c>
      <x:c r="Q3" s="4" t="s">
        <x:v>84</x:v>
      </x:c>
    </x:row>
    <x:row r="4" ht="15" customHeight="1">
      <x:c r="A4" s="7" t="s">
        <x:v>85</x:v>
      </x:c>
      <x:c r="B4" s="4" t="s">
        <x:v>75</x:v>
      </x:c>
      <x:c r="C4" s="4" t="s">
        <x:v>76</x:v>
      </x:c>
      <x:c r="D4" s="4" t="s">
        <x:v>86</x:v>
      </x:c>
      <x:c r="E4" s="4">
        <x:v>30</x:v>
      </x:c>
      <x:c r="F4" s="4"/>
      <x:c r="G4" s="4"/>
      <x:c r="H4" s="4"/>
      <x:c r="I4" s="4"/>
      <x:c r="J4" s="4"/>
      <x:c r="K4" s="4">
        <x:v>2</x:v>
      </x:c>
      <x:c r="L4" s="4"/>
      <x:c r="M4" s="4"/>
      <x:c r="N4" s="4"/>
      <x:c r="O4" s="4"/>
      <x:c r="P4" s="4" t="s">
        <x:v>87</x:v>
      </x:c>
      <x:c r="Q4" s="4" t="s">
        <x:v>88</x:v>
      </x:c>
    </x:row>
    <x:row r="5" ht="15" customHeight="1">
      <x:c r="A5" s="7" t="s">
        <x:v>89</x:v>
      </x:c>
      <x:c r="B5" s="4" t="s">
        <x:v>75</x:v>
      </x:c>
      <x:c r="C5" s="4" t="s">
        <x:v>35</x:v>
      </x:c>
      <x:c r="D5" s="4" t="s">
        <x:v>90</x:v>
      </x:c>
      <x:c r="E5" s="4">
        <x:v>70</x:v>
      </x:c>
      <x:c r="F5" s="4"/>
      <x:c r="G5" s="4">
        <x:v>3</x:v>
      </x:c>
      <x:c r="H5" s="4">
        <x:v>1</x:v>
      </x:c>
      <x:c r="I5" s="4"/>
      <x:c r="J5" s="4"/>
      <x:c r="K5" s="4">
        <x:v>2</x:v>
      </x:c>
      <x:c r="L5" s="4"/>
      <x:c r="M5" s="4"/>
      <x:c r="N5" s="4"/>
      <x:c r="O5" s="4"/>
      <x:c r="P5" s="4" t="s">
        <x:v>91</x:v>
      </x:c>
      <x:c r="Q5" s="4" t="s">
        <x:v>92</x:v>
      </x:c>
    </x:row>
    <x:row r="6" ht="15" customHeight="1">
      <x:c r="A6" s="7" t="s">
        <x:v>93</x:v>
      </x:c>
      <x:c r="B6" s="4" t="s">
        <x:v>75</x:v>
      </x:c>
      <x:c r="C6" s="4" t="s">
        <x:v>35</x:v>
      </x:c>
      <x:c r="D6" s="4" t="s">
        <x:v>94</x:v>
      </x:c>
      <x:c r="E6" s="4">
        <x:v>160</x:v>
      </x:c>
      <x:c r="F6" s="4"/>
      <x:c r="G6" s="4">
        <x:v>6</x:v>
      </x:c>
      <x:c r="H6" s="4">
        <x:v>1</x:v>
      </x:c>
      <x:c r="I6" s="4"/>
      <x:c r="J6" s="4"/>
      <x:c r="K6" s="4">
        <x:v>4</x:v>
      </x:c>
      <x:c r="L6" s="4"/>
      <x:c r="M6" s="4"/>
      <x:c r="N6" s="4"/>
      <x:c r="O6" s="4"/>
      <x:c r="P6" s="4" t="s">
        <x:v>91</x:v>
      </x:c>
      <x:c r="Q6" s="4" t="s">
        <x:v>95</x:v>
      </x:c>
    </x:row>
    <x:row r="7" ht="15" customHeight="1">
      <x:c r="A7" s="7" t="s">
        <x:v>96</x:v>
      </x:c>
      <x:c r="B7" s="4" t="s">
        <x:v>75</x:v>
      </x:c>
      <x:c r="C7" s="4" t="s">
        <x:v>35</x:v>
      </x:c>
      <x:c r="D7" s="4" t="s">
        <x:v>97</x:v>
      </x:c>
      <x:c r="E7" s="4">
        <x:v>320</x:v>
      </x:c>
      <x:c r="F7" s="4"/>
      <x:c r="G7" s="4">
        <x:v>9</x:v>
      </x:c>
      <x:c r="H7" s="4">
        <x:v>2</x:v>
      </x:c>
      <x:c r="I7" s="4"/>
      <x:c r="J7" s="4"/>
      <x:c r="K7" s="4">
        <x:v>6</x:v>
      </x:c>
      <x:c r="L7" s="4"/>
      <x:c r="M7" s="4"/>
      <x:c r="N7" s="4"/>
      <x:c r="O7" s="4"/>
      <x:c r="P7" s="4" t="s">
        <x:v>91</x:v>
      </x:c>
      <x:c r="Q7" s="4" t="s">
        <x:v>98</x:v>
      </x:c>
    </x:row>
    <x:row r="8" ht="15" customHeight="1">
      <x:c r="A8" s="7" t="s">
        <x:v>99</x:v>
      </x:c>
      <x:c r="B8" s="4" t="s">
        <x:v>75</x:v>
      </x:c>
      <x:c r="C8" s="4" t="s">
        <x:v>49</x:v>
      </x:c>
      <x:c r="D8" s="4" t="s">
        <x:v>100</x:v>
      </x:c>
      <x:c r="E8" s="4">
        <x:v>70</x:v>
      </x:c>
      <x:c r="F8" s="4"/>
      <x:c r="G8" s="4">
        <x:v>3</x:v>
      </x:c>
      <x:c r="H8" s="4"/>
      <x:c r="I8" s="4">
        <x:v>1</x:v>
      </x:c>
      <x:c r="J8" s="4"/>
      <x:c r="K8" s="4">
        <x:v>2</x:v>
      </x:c>
      <x:c r="L8" s="4"/>
      <x:c r="M8" s="4"/>
      <x:c r="N8" s="4"/>
      <x:c r="O8" s="4"/>
      <x:c r="P8" s="4" t="s">
        <x:v>78</x:v>
      </x:c>
      <x:c r="Q8" s="4" t="s">
        <x:v>101</x:v>
      </x:c>
    </x:row>
    <x:row r="9" ht="15" customHeight="1">
      <x:c r="A9" s="7" t="s">
        <x:v>102</x:v>
      </x:c>
      <x:c r="B9" s="4" t="s">
        <x:v>75</x:v>
      </x:c>
      <x:c r="C9" s="4" t="s">
        <x:v>49</x:v>
      </x:c>
      <x:c r="D9" s="4" t="s">
        <x:v>103</x:v>
      </x:c>
      <x:c r="E9" s="4">
        <x:v>160</x:v>
      </x:c>
      <x:c r="F9" s="4"/>
      <x:c r="G9" s="4">
        <x:v>6</x:v>
      </x:c>
      <x:c r="H9" s="4"/>
      <x:c r="I9" s="4">
        <x:v>2</x:v>
      </x:c>
      <x:c r="J9" s="4"/>
      <x:c r="K9" s="4">
        <x:v>3</x:v>
      </x:c>
      <x:c r="L9" s="4"/>
      <x:c r="M9" s="4"/>
      <x:c r="N9" s="4"/>
      <x:c r="O9" s="4"/>
      <x:c r="P9" s="4" t="s">
        <x:v>78</x:v>
      </x:c>
      <x:c r="Q9" s="4" t="s">
        <x:v>104</x:v>
      </x:c>
    </x:row>
    <x:row r="10" ht="15" customHeight="1">
      <x:c r="A10" s="7" t="s">
        <x:v>105</x:v>
      </x:c>
      <x:c r="B10" s="4" t="s">
        <x:v>75</x:v>
      </x:c>
      <x:c r="C10" s="4" t="s">
        <x:v>49</x:v>
      </x:c>
      <x:c r="D10" s="4" t="s">
        <x:v>106</x:v>
      </x:c>
      <x:c r="E10" s="4">
        <x:v>320</x:v>
      </x:c>
      <x:c r="F10" s="4"/>
      <x:c r="G10" s="4">
        <x:v>9</x:v>
      </x:c>
      <x:c r="H10" s="4"/>
      <x:c r="I10" s="4">
        <x:v>3</x:v>
      </x:c>
      <x:c r="J10" s="4"/>
      <x:c r="K10" s="4">
        <x:v>4</x:v>
      </x:c>
      <x:c r="L10" s="4"/>
      <x:c r="M10" s="4"/>
      <x:c r="N10" s="4"/>
      <x:c r="O10" s="4"/>
      <x:c r="P10" s="4" t="s">
        <x:v>78</x:v>
      </x:c>
      <x:c r="Q10" s="4" t="s">
        <x:v>107</x:v>
      </x:c>
    </x:row>
    <x:row r="11" ht="15" customHeight="1">
      <x:c r="A11" s="7" t="s">
        <x:v>108</x:v>
      </x:c>
      <x:c r="B11" s="4" t="s">
        <x:v>75</x:v>
      </x:c>
      <x:c r="C11" s="4" t="s">
        <x:v>53</x:v>
      </x:c>
      <x:c r="D11" s="4" t="s">
        <x:v>109</x:v>
      </x:c>
      <x:c r="E11" s="4">
        <x:v>70</x:v>
      </x:c>
      <x:c r="F11" s="4"/>
      <x:c r="G11" s="4">
        <x:v>3</x:v>
      </x:c>
      <x:c r="H11" s="4"/>
      <x:c r="I11" s="4"/>
      <x:c r="J11" s="4">
        <x:v>1</x:v>
      </x:c>
      <x:c r="K11" s="4">
        <x:v>2</x:v>
      </x:c>
      <x:c r="L11" s="4"/>
      <x:c r="M11" s="4"/>
      <x:c r="N11" s="4"/>
      <x:c r="O11" s="4"/>
      <x:c r="P11" s="4" t="s">
        <x:v>110</x:v>
      </x:c>
      <x:c r="Q11" s="4" t="s">
        <x:v>111</x:v>
      </x:c>
    </x:row>
    <x:row r="12" ht="15" customHeight="1">
      <x:c r="A12" s="7" t="s">
        <x:v>112</x:v>
      </x:c>
      <x:c r="B12" s="4" t="s">
        <x:v>75</x:v>
      </x:c>
      <x:c r="C12" s="4" t="s">
        <x:v>53</x:v>
      </x:c>
      <x:c r="D12" s="4" t="s">
        <x:v>113</x:v>
      </x:c>
      <x:c r="E12" s="4">
        <x:v>160</x:v>
      </x:c>
      <x:c r="F12" s="4"/>
      <x:c r="G12" s="4">
        <x:v>6</x:v>
      </x:c>
      <x:c r="H12" s="4"/>
      <x:c r="I12" s="4"/>
      <x:c r="J12" s="4">
        <x:v>2</x:v>
      </x:c>
      <x:c r="K12" s="4">
        <x:v>3</x:v>
      </x:c>
      <x:c r="L12" s="4"/>
      <x:c r="M12" s="4"/>
      <x:c r="N12" s="4"/>
      <x:c r="O12" s="4"/>
      <x:c r="P12" s="4" t="s">
        <x:v>110</x:v>
      </x:c>
      <x:c r="Q12" s="4" t="s">
        <x:v>114</x:v>
      </x:c>
    </x:row>
    <x:row r="13" ht="15" customHeight="1">
      <x:c r="A13" s="7" t="s">
        <x:v>115</x:v>
      </x:c>
      <x:c r="B13" s="4" t="s">
        <x:v>75</x:v>
      </x:c>
      <x:c r="C13" s="4" t="s">
        <x:v>53</x:v>
      </x:c>
      <x:c r="D13" s="4" t="s">
        <x:v>116</x:v>
      </x:c>
      <x:c r="E13" s="4">
        <x:v>320</x:v>
      </x:c>
      <x:c r="F13" s="4"/>
      <x:c r="G13" s="4">
        <x:v>9</x:v>
      </x:c>
      <x:c r="H13" s="4"/>
      <x:c r="I13" s="4"/>
      <x:c r="J13" s="4">
        <x:v>3</x:v>
      </x:c>
      <x:c r="K13" s="4">
        <x:v>4</x:v>
      </x:c>
      <x:c r="L13" s="4"/>
      <x:c r="M13" s="4"/>
      <x:c r="N13" s="4"/>
      <x:c r="O13" s="4"/>
      <x:c r="P13" s="4" t="s">
        <x:v>110</x:v>
      </x:c>
      <x:c r="Q13" s="4" t="s">
        <x:v>117</x:v>
      </x:c>
    </x:row>
    <x:row r="14" ht="15" customHeight="1">
      <x:c r="A14" s="7" t="s">
        <x:v>118</x:v>
      </x:c>
      <x:c r="B14" s="4" t="s">
        <x:v>81</x:v>
      </x:c>
      <x:c r="C14" s="4" t="s">
        <x:v>35</x:v>
      </x:c>
      <x:c r="D14" s="4" t="s">
        <x:v>119</x:v>
      </x:c>
      <x:c r="E14" s="4">
        <x:v>55</x:v>
      </x:c>
      <x:c r="F14" s="4"/>
      <x:c r="G14" s="4">
        <x:v>3</x:v>
      </x:c>
      <x:c r="H14" s="4">
        <x:v>1</x:v>
      </x:c>
      <x:c r="I14" s="4"/>
      <x:c r="J14" s="4"/>
      <x:c r="K14" s="4">
        <x:v>1</x:v>
      </x:c>
      <x:c r="L14" s="4"/>
      <x:c r="M14" s="4"/>
      <x:c r="N14" s="4"/>
      <x:c r="O14" s="4"/>
      <x:c r="P14" s="4" t="s">
        <x:v>120</x:v>
      </x:c>
      <x:c r="Q14" s="4" t="s">
        <x:v>121</x:v>
      </x:c>
    </x:row>
    <x:row r="15" ht="15" customHeight="1">
      <x:c r="A15" s="7" t="s">
        <x:v>122</x:v>
      </x:c>
      <x:c r="B15" s="4" t="s">
        <x:v>81</x:v>
      </x:c>
      <x:c r="C15" s="4" t="s">
        <x:v>35</x:v>
      </x:c>
      <x:c r="D15" s="4" t="s">
        <x:v>123</x:v>
      </x:c>
      <x:c r="E15" s="4">
        <x:v>130</x:v>
      </x:c>
      <x:c r="F15" s="4"/>
      <x:c r="G15" s="4">
        <x:v>6</x:v>
      </x:c>
      <x:c r="H15" s="4">
        <x:v>2</x:v>
      </x:c>
      <x:c r="I15" s="4"/>
      <x:c r="J15" s="4"/>
      <x:c r="K15" s="4">
        <x:v>2</x:v>
      </x:c>
      <x:c r="L15" s="4"/>
      <x:c r="M15" s="4"/>
      <x:c r="N15" s="4"/>
      <x:c r="O15" s="4"/>
      <x:c r="P15" s="4" t="s">
        <x:v>120</x:v>
      </x:c>
      <x:c r="Q15" s="4" t="s">
        <x:v>124</x:v>
      </x:c>
    </x:row>
    <x:row r="16" ht="15" customHeight="1">
      <x:c r="A16" s="7" t="s">
        <x:v>125</x:v>
      </x:c>
      <x:c r="B16" s="4" t="s">
        <x:v>81</x:v>
      </x:c>
      <x:c r="C16" s="4" t="s">
        <x:v>35</x:v>
      </x:c>
      <x:c r="D16" s="4" t="s">
        <x:v>126</x:v>
      </x:c>
      <x:c r="E16" s="4">
        <x:v>260</x:v>
      </x:c>
      <x:c r="F16" s="4"/>
      <x:c r="G16" s="4">
        <x:v>9</x:v>
      </x:c>
      <x:c r="H16" s="4">
        <x:v>3</x:v>
      </x:c>
      <x:c r="I16" s="4"/>
      <x:c r="J16" s="4"/>
      <x:c r="K16" s="4">
        <x:v>3</x:v>
      </x:c>
      <x:c r="L16" s="4"/>
      <x:c r="M16" s="4"/>
      <x:c r="N16" s="4"/>
      <x:c r="O16" s="4"/>
      <x:c r="P16" s="4" t="s">
        <x:v>120</x:v>
      </x:c>
      <x:c r="Q16" s="4" t="s">
        <x:v>127</x:v>
      </x:c>
    </x:row>
    <x:row r="17" ht="15" customHeight="1">
      <x:c r="A17" s="7" t="s">
        <x:v>128</x:v>
      </x:c>
      <x:c r="B17" s="4" t="s">
        <x:v>81</x:v>
      </x:c>
      <x:c r="C17" s="4" t="s">
        <x:v>49</x:v>
      </x:c>
      <x:c r="D17" s="4" t="s">
        <x:v>129</x:v>
      </x:c>
      <x:c r="E17" s="4">
        <x:v>55</x:v>
      </x:c>
      <x:c r="F17" s="4"/>
      <x:c r="G17" s="4">
        <x:v>3</x:v>
      </x:c>
      <x:c r="H17" s="4"/>
      <x:c r="I17" s="4">
        <x:v>2</x:v>
      </x:c>
      <x:c r="J17" s="4"/>
      <x:c r="K17" s="4"/>
      <x:c r="L17" s="4"/>
      <x:c r="M17" s="4"/>
      <x:c r="N17" s="4"/>
      <x:c r="O17" s="4"/>
      <x:c r="P17" s="4" t="s">
        <x:v>130</x:v>
      </x:c>
      <x:c r="Q17" s="4" t="s">
        <x:v>131</x:v>
      </x:c>
    </x:row>
    <x:row r="18" ht="15" customHeight="1">
      <x:c r="A18" s="7" t="s">
        <x:v>132</x:v>
      </x:c>
      <x:c r="B18" s="4" t="s">
        <x:v>81</x:v>
      </x:c>
      <x:c r="C18" s="4" t="s">
        <x:v>49</x:v>
      </x:c>
      <x:c r="D18" s="4" t="s">
        <x:v>133</x:v>
      </x:c>
      <x:c r="E18" s="4">
        <x:v>130</x:v>
      </x:c>
      <x:c r="F18" s="4"/>
      <x:c r="G18" s="4">
        <x:v>6</x:v>
      </x:c>
      <x:c r="H18" s="4"/>
      <x:c r="I18" s="4">
        <x:v>3</x:v>
      </x:c>
      <x:c r="J18" s="4"/>
      <x:c r="K18" s="4">
        <x:v>1</x:v>
      </x:c>
      <x:c r="L18" s="4"/>
      <x:c r="M18" s="4"/>
      <x:c r="N18" s="4"/>
      <x:c r="O18" s="4"/>
      <x:c r="P18" s="4" t="s">
        <x:v>130</x:v>
      </x:c>
      <x:c r="Q18" s="4" t="s">
        <x:v>134</x:v>
      </x:c>
    </x:row>
    <x:row r="19" ht="15" customHeight="1">
      <x:c r="A19" s="7" t="s">
        <x:v>135</x:v>
      </x:c>
      <x:c r="B19" s="4" t="s">
        <x:v>81</x:v>
      </x:c>
      <x:c r="C19" s="4" t="s">
        <x:v>49</x:v>
      </x:c>
      <x:c r="D19" s="4" t="s">
        <x:v>136</x:v>
      </x:c>
      <x:c r="E19" s="4">
        <x:v>260</x:v>
      </x:c>
      <x:c r="F19" s="4"/>
      <x:c r="G19" s="4">
        <x:v>9</x:v>
      </x:c>
      <x:c r="H19" s="4"/>
      <x:c r="I19" s="4">
        <x:v>4</x:v>
      </x:c>
      <x:c r="J19" s="4"/>
      <x:c r="K19" s="4">
        <x:v>1</x:v>
      </x:c>
      <x:c r="L19" s="4"/>
      <x:c r="M19" s="4"/>
      <x:c r="N19" s="4"/>
      <x:c r="O19" s="4"/>
      <x:c r="P19" s="4" t="s">
        <x:v>130</x:v>
      </x:c>
      <x:c r="Q19" s="4" t="s">
        <x:v>137</x:v>
      </x:c>
    </x:row>
    <x:row r="20" ht="15" customHeight="1">
      <x:c r="A20" s="7" t="s">
        <x:v>138</x:v>
      </x:c>
      <x:c r="B20" s="4" t="s">
        <x:v>81</x:v>
      </x:c>
      <x:c r="C20" s="4" t="s">
        <x:v>53</x:v>
      </x:c>
      <x:c r="D20" s="4" t="s">
        <x:v>139</x:v>
      </x:c>
      <x:c r="E20" s="4">
        <x:v>55</x:v>
      </x:c>
      <x:c r="F20" s="4"/>
      <x:c r="G20" s="4">
        <x:v>3</x:v>
      </x:c>
      <x:c r="H20" s="4"/>
      <x:c r="I20" s="4"/>
      <x:c r="J20" s="4">
        <x:v>2</x:v>
      </x:c>
      <x:c r="K20" s="4"/>
      <x:c r="L20" s="4"/>
      <x:c r="M20" s="4"/>
      <x:c r="N20" s="4"/>
      <x:c r="O20" s="4"/>
      <x:c r="P20" s="4" t="s">
        <x:v>140</x:v>
      </x:c>
      <x:c r="Q20" s="4" t="s">
        <x:v>141</x:v>
      </x:c>
    </x:row>
    <x:row r="21" ht="15" customHeight="1">
      <x:c r="A21" s="7" t="s">
        <x:v>142</x:v>
      </x:c>
      <x:c r="B21" s="4" t="s">
        <x:v>81</x:v>
      </x:c>
      <x:c r="C21" s="4" t="s">
        <x:v>53</x:v>
      </x:c>
      <x:c r="D21" s="4" t="s">
        <x:v>143</x:v>
      </x:c>
      <x:c r="E21" s="4">
        <x:v>130</x:v>
      </x:c>
      <x:c r="F21" s="4"/>
      <x:c r="G21" s="4">
        <x:v>6</x:v>
      </x:c>
      <x:c r="H21" s="4"/>
      <x:c r="I21" s="4"/>
      <x:c r="J21" s="4">
        <x:v>3</x:v>
      </x:c>
      <x:c r="K21" s="4">
        <x:v>1</x:v>
      </x:c>
      <x:c r="L21" s="4"/>
      <x:c r="M21" s="4"/>
      <x:c r="N21" s="4"/>
      <x:c r="O21" s="4"/>
      <x:c r="P21" s="4" t="s">
        <x:v>140</x:v>
      </x:c>
      <x:c r="Q21" s="4" t="s">
        <x:v>144</x:v>
      </x:c>
    </x:row>
    <x:row r="22" ht="15" customHeight="1">
      <x:c r="A22" s="7" t="s">
        <x:v>145</x:v>
      </x:c>
      <x:c r="B22" s="4" t="s">
        <x:v>81</x:v>
      </x:c>
      <x:c r="C22" s="4" t="s">
        <x:v>53</x:v>
      </x:c>
      <x:c r="D22" s="4" t="s">
        <x:v>146</x:v>
      </x:c>
      <x:c r="E22" s="4">
        <x:v>260</x:v>
      </x:c>
      <x:c r="F22" s="4"/>
      <x:c r="G22" s="4">
        <x:v>9</x:v>
      </x:c>
      <x:c r="H22" s="4"/>
      <x:c r="I22" s="4"/>
      <x:c r="J22" s="4">
        <x:v>4</x:v>
      </x:c>
      <x:c r="K22" s="4">
        <x:v>1</x:v>
      </x:c>
      <x:c r="L22" s="4"/>
      <x:c r="M22" s="4"/>
      <x:c r="N22" s="4"/>
      <x:c r="O22" s="4"/>
      <x:c r="P22" s="4" t="s">
        <x:v>140</x:v>
      </x:c>
      <x:c r="Q22" s="4" t="s">
        <x:v>147</x:v>
      </x:c>
    </x:row>
    <x:row r="23" ht="15" customHeight="1">
      <x:c r="A23" s="7" t="s">
        <x:v>148</x:v>
      </x:c>
      <x:c r="B23" s="4" t="s">
        <x:v>75</x:v>
      </x:c>
      <x:c r="C23" s="4" t="s">
        <x:v>76</x:v>
      </x:c>
      <x:c r="D23" s="4" t="s">
        <x:v>149</x:v>
      </x:c>
      <x:c r="E23" s="4"/>
      <x:c r="F23" s="4"/>
      <x:c r="G23" s="4"/>
      <x:c r="H23" s="4">
        <x:v>2</x:v>
      </x:c>
      <x:c r="I23" s="4">
        <x:v>2</x:v>
      </x:c>
      <x:c r="J23" s="4">
        <x:v>2</x:v>
      </x:c>
      <x:c r="K23" s="4">
        <x:v>4</x:v>
      </x:c>
      <x:c r="L23" s="4"/>
      <x:c r="M23" s="4"/>
      <x:c r="N23" s="4"/>
      <x:c r="O23" s="4"/>
      <x:c r="P23" s="4" t="s">
        <x:v>148</x:v>
      </x:c>
      <x:c r="Q23" s="4" t="s">
        <x:v>150</x:v>
      </x:c>
    </x:row>
    <x:row r="24" ht="15" customHeight="1">
      <x:c r="A24" s="8" t="s">
        <x:v>151</x:v>
      </x:c>
      <x:c r="B24" s="5" t="s">
        <x:v>81</x:v>
      </x:c>
      <x:c r="C24" s="5" t="s">
        <x:v>76</x:v>
      </x:c>
      <x:c r="D24" s="5" t="s">
        <x:v>152</x:v>
      </x:c>
      <x:c r="E24" s="5"/>
      <x:c r="F24" s="5"/>
      <x:c r="G24" s="5"/>
      <x:c r="H24" s="5">
        <x:v>2</x:v>
      </x:c>
      <x:c r="I24" s="5">
        <x:v>2</x:v>
      </x:c>
      <x:c r="J24" s="5">
        <x:v>2</x:v>
      </x:c>
      <x:c r="K24" s="5">
        <x:v>2</x:v>
      </x:c>
      <x:c r="L24" s="5"/>
      <x:c r="M24" s="5"/>
      <x:c r="N24" s="5"/>
      <x:c r="O24" s="5"/>
      <x:c r="P24" s="5" t="s">
        <x:v>153</x:v>
      </x:c>
      <x:c r="Q24" s="5" t="s">
        <x:v>154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0.5" customWidth="1"/>
    <x:col min="2" max="2" width="7.9140625" customWidth="1"/>
    <x:col min="3" max="3" width="4.25" customWidth="1"/>
    <x:col min="4" max="4" width="13.75" customWidth="1"/>
    <x:col min="5" max="6" width="9" customWidth="1"/>
    <x:col min="7" max="7" width="7.9140625" customWidth="1"/>
    <x:col min="8" max="8" width="2.4140625" customWidth="1"/>
    <x:col min="9" max="11" width="4.25" customWidth="1"/>
    <x:col min="12" max="12" width="6.5" customWidth="1"/>
    <x:col min="13" max="15" width="8.25" customWidth="1"/>
    <x:col min="16" max="16" width="17" customWidth="1"/>
    <x:col min="17" max="17" width="54.25" customWidth="1"/>
  </x:cols>
  <x:sheetData>
    <x:row r="1" ht="15" customHeight="1">
      <x:c r="A1" s="2" t="s">
        <x:v>16</x:v>
      </x:c>
      <x:c r="B1" s="2" t="s">
        <x:v>17</x:v>
      </x:c>
      <x:c r="C1" s="2" t="s">
        <x:v>18</x:v>
      </x:c>
      <x:c r="D1" s="2" t="s">
        <x:v>19</x:v>
      </x:c>
      <x:c r="E1" s="2" t="s">
        <x:v>20</x:v>
      </x:c>
      <x:c r="F1" s="2" t="s">
        <x:v>21</x:v>
      </x:c>
      <x:c r="G1" s="2" t="s">
        <x:v>22</x:v>
      </x:c>
      <x:c r="H1" s="2" t="s">
        <x:v>23</x:v>
      </x:c>
      <x:c r="I1" s="2" t="s">
        <x:v>24</x:v>
      </x:c>
      <x:c r="J1" s="2" t="s">
        <x:v>25</x:v>
      </x:c>
      <x:c r="K1" s="2" t="s">
        <x:v>26</x:v>
      </x:c>
      <x:c r="L1" s="2" t="s">
        <x:v>27</x:v>
      </x:c>
      <x:c r="M1" s="2" t="s">
        <x:v>28</x:v>
      </x:c>
      <x:c r="N1" s="2" t="s">
        <x:v>29</x:v>
      </x:c>
      <x:c r="O1" s="2" t="s">
        <x:v>30</x:v>
      </x:c>
      <x:c r="P1" s="2" t="s">
        <x:v>31</x:v>
      </x:c>
      <x:c r="Q1" s="2" t="s">
        <x:v>32</x:v>
      </x:c>
    </x:row>
    <x:row r="2" ht="15" customHeight="1">
      <x:c r="A2" s="6" t="s">
        <x:v>155</x:v>
      </x:c>
      <x:c r="B2" s="3" t="s">
        <x:v>156</x:v>
      </x:c>
      <x:c r="C2" s="3" t="s">
        <x:v>76</x:v>
      </x:c>
      <x:c r="D2" s="3" t="s">
        <x:v>157</x:v>
      </x:c>
      <x:c r="E2" s="3"/>
      <x:c r="F2" s="3">
        <x:v>5</x:v>
      </x:c>
      <x:c r="G2" s="3">
        <x:v>3</x:v>
      </x:c>
      <x:c r="H2" s="3"/>
      <x:c r="I2" s="3"/>
      <x:c r="J2" s="3">
        <x:v>2</x:v>
      </x:c>
      <x:c r="K2" s="3">
        <x:v>4</x:v>
      </x:c>
      <x:c r="L2" s="3"/>
      <x:c r="M2" s="3"/>
      <x:c r="N2" s="3">
        <x:v>1</x:v>
      </x:c>
      <x:c r="O2" s="3"/>
      <x:c r="P2" s="3" t="s">
        <x:v>158</x:v>
      </x:c>
      <x:c r="Q2" s="3" t="s">
        <x:v>159</x:v>
      </x:c>
    </x:row>
    <x:row r="3" ht="15" customHeight="1">
      <x:c r="A3" s="7" t="s">
        <x:v>160</x:v>
      </x:c>
      <x:c r="B3" s="4" t="s">
        <x:v>156</x:v>
      </x:c>
      <x:c r="C3" s="4" t="s">
        <x:v>76</x:v>
      </x:c>
      <x:c r="D3" s="4" t="s">
        <x:v>161</x:v>
      </x:c>
      <x:c r="E3" s="4"/>
      <x:c r="F3" s="4">
        <x:v>5</x:v>
      </x:c>
      <x:c r="G3" s="4">
        <x:v>3</x:v>
      </x:c>
      <x:c r="H3" s="4"/>
      <x:c r="I3" s="4"/>
      <x:c r="J3" s="4">
        <x:v>3</x:v>
      </x:c>
      <x:c r="K3" s="4">
        <x:v>2</x:v>
      </x:c>
      <x:c r="L3" s="4"/>
      <x:c r="M3" s="4"/>
      <x:c r="N3" s="4"/>
      <x:c r="O3" s="4">
        <x:v>1</x:v>
      </x:c>
      <x:c r="P3" s="4" t="s">
        <x:v>160</x:v>
      </x:c>
      <x:c r="Q3" s="4" t="s">
        <x:v>162</x:v>
      </x:c>
    </x:row>
    <x:row r="4" ht="15" customHeight="1">
      <x:c r="A4" s="7" t="s">
        <x:v>163</x:v>
      </x:c>
      <x:c r="B4" s="4" t="s">
        <x:v>156</x:v>
      </x:c>
      <x:c r="C4" s="4" t="s">
        <x:v>76</x:v>
      </x:c>
      <x:c r="D4" s="4" t="s">
        <x:v>164</x:v>
      </x:c>
      <x:c r="E4" s="4"/>
      <x:c r="F4" s="4">
        <x:v>5</x:v>
      </x:c>
      <x:c r="G4" s="4">
        <x:v>3</x:v>
      </x:c>
      <x:c r="H4" s="4"/>
      <x:c r="I4" s="4">
        <x:v>3</x:v>
      </x:c>
      <x:c r="J4" s="4"/>
      <x:c r="K4" s="4"/>
      <x:c r="L4" s="4"/>
      <x:c r="M4" s="4">
        <x:v>1</x:v>
      </x:c>
      <x:c r="N4" s="4"/>
      <x:c r="O4" s="4"/>
      <x:c r="P4" s="4" t="s">
        <x:v>165</x:v>
      </x:c>
      <x:c r="Q4" s="4" t="s">
        <x:v>166</x:v>
      </x:c>
    </x:row>
    <x:row r="5" ht="15" customHeight="1">
      <x:c r="A5" s="7" t="s">
        <x:v>167</x:v>
      </x:c>
      <x:c r="B5" s="4" t="s">
        <x:v>156</x:v>
      </x:c>
      <x:c r="C5" s="4" t="s">
        <x:v>76</x:v>
      </x:c>
      <x:c r="D5" s="4" t="s">
        <x:v>168</x:v>
      </x:c>
      <x:c r="E5" s="4"/>
      <x:c r="F5" s="4">
        <x:v>5</x:v>
      </x:c>
      <x:c r="G5" s="4">
        <x:v>3</x:v>
      </x:c>
      <x:c r="H5" s="4"/>
      <x:c r="I5" s="4"/>
      <x:c r="J5" s="4"/>
      <x:c r="K5" s="4">
        <x:v>3</x:v>
      </x:c>
      <x:c r="L5" s="4"/>
      <x:c r="M5" s="4"/>
      <x:c r="N5" s="4"/>
      <x:c r="O5" s="4">
        <x:v>1</x:v>
      </x:c>
      <x:c r="P5" s="4" t="s">
        <x:v>169</x:v>
      </x:c>
      <x:c r="Q5" s="4" t="s">
        <x:v>170</x:v>
      </x:c>
    </x:row>
    <x:row r="6" ht="15" customHeight="1">
      <x:c r="A6" s="8" t="s">
        <x:v>171</x:v>
      </x:c>
      <x:c r="B6" s="5" t="s">
        <x:v>156</x:v>
      </x:c>
      <x:c r="C6" s="5" t="s">
        <x:v>76</x:v>
      </x:c>
      <x:c r="D6" s="5" t="s">
        <x:v>172</x:v>
      </x:c>
      <x:c r="E6" s="5"/>
      <x:c r="F6" s="5">
        <x:v>5</x:v>
      </x:c>
      <x:c r="G6" s="5">
        <x:v>3</x:v>
      </x:c>
      <x:c r="H6" s="5">
        <x:v>3</x:v>
      </x:c>
      <x:c r="I6" s="5"/>
      <x:c r="J6" s="5"/>
      <x:c r="K6" s="5">
        <x:v>1</x:v>
      </x:c>
      <x:c r="L6" s="5">
        <x:v>1</x:v>
      </x:c>
      <x:c r="M6" s="5"/>
      <x:c r="N6" s="5"/>
      <x:c r="O6" s="5"/>
      <x:c r="P6" s="5" t="s">
        <x:v>173</x:v>
      </x:c>
      <x:c r="Q6" s="5" t="s">
        <x:v>174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7.08203125" customWidth="1"/>
    <x:col min="2" max="2" width="12.1640625" customWidth="1"/>
    <x:col min="3" max="3" width="6" customWidth="1"/>
    <x:col min="4" max="4" width="4.25" customWidth="1"/>
    <x:col min="5" max="5" width="17.33203125" customWidth="1"/>
    <x:col min="6" max="6" width="6" customWidth="1"/>
    <x:col min="7" max="7" width="6.75" customWidth="1"/>
    <x:col min="8" max="8" width="7.9140625" customWidth="1"/>
    <x:col min="9" max="9" width="9.9140625" customWidth="1"/>
    <x:col min="10" max="10" width="7.9140625" customWidth="1"/>
    <x:col min="11" max="11" width="6" customWidth="1"/>
    <x:col min="12" max="12" width="7.9140625" customWidth="1"/>
    <x:col min="13" max="13" width="6" customWidth="1"/>
    <x:col min="14" max="14" width="7.9140625" customWidth="1"/>
    <x:col min="15" max="15" width="6" customWidth="1"/>
    <x:col min="16" max="16" width="9.9140625" customWidth="1"/>
    <x:col min="17" max="17" width="15.25" customWidth="1"/>
    <x:col min="18" max="18" width="13.5" customWidth="1"/>
    <x:col min="19" max="19" width="96.5" customWidth="1"/>
  </x:cols>
  <x:sheetData>
    <x:row r="1" ht="36" customHeight="1">
      <x:c r="A1" s="30" t="s">
        <x:v>16</x:v>
      </x:c>
      <x:c r="B1" s="30" t="s">
        <x:v>18</x:v>
      </x:c>
      <x:c r="C1" s="30" t="s">
        <x:v>175</x:v>
      </x:c>
      <x:c r="D1" s="30" t="s">
        <x:v>176</x:v>
      </x:c>
      <x:c r="E1" s="30" t="s">
        <x:v>19</x:v>
      </x:c>
      <x:c r="F1" s="30" t="s">
        <x:v>177</x:v>
      </x:c>
      <x:c r="G1" s="30" t="s">
        <x:v>178</x:v>
      </x:c>
      <x:c r="H1" s="30" t="s">
        <x:v>179</x:v>
      </x:c>
      <x:c r="I1" s="30" t="s">
        <x:v>180</x:v>
      </x:c>
      <x:c r="J1" s="30" t="s">
        <x:v>181</x:v>
      </x:c>
      <x:c r="K1" s="30" t="s">
        <x:v>182</x:v>
      </x:c>
      <x:c r="L1" s="30" t="s">
        <x:v>183</x:v>
      </x:c>
      <x:c r="M1" s="30" t="s">
        <x:v>184</x:v>
      </x:c>
      <x:c r="N1" s="30" t="s">
        <x:v>185</x:v>
      </x:c>
      <x:c r="O1" s="30" t="s">
        <x:v>186</x:v>
      </x:c>
      <x:c r="P1" s="30" t="s">
        <x:v>187</x:v>
      </x:c>
      <x:c r="Q1" s="30" t="s">
        <x:v>188</x:v>
      </x:c>
      <x:c r="R1" s="30" t="s">
        <x:v>189</x:v>
      </x:c>
      <x:c r="S1" s="30" t="s">
        <x:v>32</x:v>
      </x:c>
    </x:row>
    <x:row r="2" ht="15" customHeight="1">
      <x:c r="A2" s="62" t="s">
        <x:v>190</x:v>
      </x:c>
      <x:c r="B2" s="63" t="s">
        <x:v>49</x:v>
      </x:c>
      <x:c r="C2" s="63" t="s">
        <x:v>76</x:v>
      </x:c>
      <x:c r="D2" s="63">
        <x:v>1</x:v>
      </x:c>
      <x:c r="E2" s="63" t="s">
        <x:v>191</x:v>
      </x:c>
      <x:c r="F2" s="63" t="s">
        <x:v>192</x:v>
      </x:c>
      <x:c r="G2" s="63" t="s">
        <x:v>193</x:v>
      </x:c>
      <x:c r="H2" s="63">
        <x:v>5</x:v>
      </x:c>
      <x:c r="I2" s="63"/>
      <x:c r="J2" s="64"/>
      <x:c r="K2" s="65"/>
      <x:c r="L2" s="64"/>
      <x:c r="M2" s="65"/>
      <x:c r="N2" s="64"/>
      <x:c r="O2" s="64"/>
      <x:c r="P2" s="63"/>
      <x:c r="Q2" s="63"/>
      <x:c r="R2" s="63"/>
      <x:c r="S2" s="63" t="s">
        <x:v>194</x:v>
      </x:c>
    </x:row>
    <x:row r="3" ht="15" customHeight="1">
      <x:c r="A3" s="66" t="s">
        <x:v>195</x:v>
      </x:c>
      <x:c r="B3" s="67" t="s">
        <x:v>49</x:v>
      </x:c>
      <x:c r="C3" s="67" t="s">
        <x:v>76</x:v>
      </x:c>
      <x:c r="D3" s="67">
        <x:v>2</x:v>
      </x:c>
      <x:c r="E3" s="67" t="s">
        <x:v>196</x:v>
      </x:c>
      <x:c r="F3" s="67" t="s">
        <x:v>197</x:v>
      </x:c>
      <x:c r="G3" s="67" t="s">
        <x:v>193</x:v>
      </x:c>
      <x:c r="H3" s="67">
        <x:v>5</x:v>
      </x:c>
      <x:c r="I3" s="67"/>
      <x:c r="J3" s="68"/>
      <x:c r="K3" s="69"/>
      <x:c r="L3" s="68"/>
      <x:c r="M3" s="69"/>
      <x:c r="N3" s="68"/>
      <x:c r="O3" s="68"/>
      <x:c r="P3" s="67" t="s">
        <x:v>198</x:v>
      </x:c>
      <x:c r="Q3" s="67"/>
      <x:c r="R3" s="67"/>
      <x:c r="S3" s="67" t="s">
        <x:v>199</x:v>
      </x:c>
    </x:row>
    <x:row r="4" ht="15" customHeight="1">
      <x:c r="A4" s="66" t="s">
        <x:v>200</x:v>
      </x:c>
      <x:c r="B4" s="67" t="s">
        <x:v>49</x:v>
      </x:c>
      <x:c r="C4" s="67" t="s">
        <x:v>76</x:v>
      </x:c>
      <x:c r="D4" s="67">
        <x:v>3</x:v>
      </x:c>
      <x:c r="E4" s="67" t="s">
        <x:v>201</x:v>
      </x:c>
      <x:c r="F4" s="67" t="s">
        <x:v>202</x:v>
      </x:c>
      <x:c r="G4" s="67" t="s">
        <x:v>203</x:v>
      </x:c>
      <x:c r="H4" s="67">
        <x:v>1</x:v>
      </x:c>
      <x:c r="I4" s="67" t="s">
        <x:v>204</x:v>
      </x:c>
      <x:c r="J4" s="68">
        <x:v>1.5</x:v>
      </x:c>
      <x:c r="K4" s="69"/>
      <x:c r="L4" s="68"/>
      <x:c r="M4" s="69">
        <x:v>2</x:v>
      </x:c>
      <x:c r="N4" s="68"/>
      <x:c r="O4" s="68"/>
      <x:c r="P4" s="67"/>
      <x:c r="Q4" s="67"/>
      <x:c r="R4" s="67"/>
      <x:c r="S4" s="67" t="s">
        <x:v>205</x:v>
      </x:c>
    </x:row>
    <x:row r="5" ht="15" customHeight="1">
      <x:c r="A5" s="66" t="s">
        <x:v>206</x:v>
      </x:c>
      <x:c r="B5" s="67" t="s">
        <x:v>49</x:v>
      </x:c>
      <x:c r="C5" s="67" t="s">
        <x:v>76</x:v>
      </x:c>
      <x:c r="D5" s="67">
        <x:v>4</x:v>
      </x:c>
      <x:c r="E5" s="67" t="s">
        <x:v>207</x:v>
      </x:c>
      <x:c r="F5" s="67" t="s">
        <x:v>208</x:v>
      </x:c>
      <x:c r="G5" s="67" t="s">
        <x:v>209</x:v>
      </x:c>
      <x:c r="H5" s="67">
        <x:v>1</x:v>
      </x:c>
      <x:c r="I5" s="67" t="s">
        <x:v>210</x:v>
      </x:c>
      <x:c r="J5" s="68"/>
      <x:c r="K5" s="69"/>
      <x:c r="L5" s="68"/>
      <x:c r="M5" s="69">
        <x:v>4</x:v>
      </x:c>
      <x:c r="N5" s="68"/>
      <x:c r="O5" s="68"/>
      <x:c r="P5" s="67"/>
      <x:c r="Q5" s="67"/>
      <x:c r="R5" s="67"/>
      <x:c r="S5" s="67" t="s">
        <x:v>211</x:v>
      </x:c>
    </x:row>
    <x:row r="6" ht="15" customHeight="1">
      <x:c r="A6" s="70" t="s">
        <x:v>212</x:v>
      </x:c>
      <x:c r="B6" s="71" t="s">
        <x:v>49</x:v>
      </x:c>
      <x:c r="C6" s="71" t="s">
        <x:v>213</x:v>
      </x:c>
      <x:c r="D6" s="71">
        <x:v>5</x:v>
      </x:c>
      <x:c r="E6" s="71" t="s">
        <x:v>214</x:v>
      </x:c>
      <x:c r="F6" s="71" t="s">
        <x:v>215</x:v>
      </x:c>
      <x:c r="G6" s="71" t="s">
        <x:v>216</x:v>
      </x:c>
      <x:c r="H6" s="71">
        <x:v>3</x:v>
      </x:c>
      <x:c r="I6" s="71"/>
      <x:c r="J6" s="72"/>
      <x:c r="K6" s="73"/>
      <x:c r="L6" s="72"/>
      <x:c r="M6" s="73"/>
      <x:c r="N6" s="72"/>
      <x:c r="O6" s="72"/>
      <x:c r="P6" s="71"/>
      <x:c r="Q6" s="71"/>
      <x:c r="R6" s="71"/>
      <x:c r="S6" s="71" t="s">
        <x:v>217</x:v>
      </x:c>
    </x:row>
    <x:row r="7" s="29" customFormat="1" ht="15" customHeight="1">
      <x:c r="A7" s="74" t="s">
        <x:v>218</x:v>
      </x:c>
      <x:c r="B7" s="75" t="s">
        <x:v>49</x:v>
      </x:c>
      <x:c r="C7" s="75" t="s">
        <x:v>219</x:v>
      </x:c>
      <x:c r="D7" s="75">
        <x:v>5</x:v>
      </x:c>
      <x:c r="E7" s="75" t="s">
        <x:v>220</x:v>
      </x:c>
      <x:c r="F7" s="75" t="s">
        <x:v>221</x:v>
      </x:c>
      <x:c r="G7" s="75" t="s">
        <x:v>222</x:v>
      </x:c>
      <x:c r="H7" s="75">
        <x:v>3</x:v>
      </x:c>
      <x:c r="I7" s="75"/>
      <x:c r="J7" s="76"/>
      <x:c r="K7" s="77"/>
      <x:c r="L7" s="76"/>
      <x:c r="M7" s="77"/>
      <x:c r="N7" s="76"/>
      <x:c r="O7" s="76"/>
      <x:c r="P7" s="75"/>
      <x:c r="Q7" s="75" t="s">
        <x:v>223</x:v>
      </x:c>
      <x:c r="R7" s="75"/>
      <x:c r="S7" s="75" t="s">
        <x:v>224</x:v>
      </x:c>
    </x:row>
    <x:row r="8" ht="15" customHeight="1">
      <x:c r="A8" s="70" t="s">
        <x:v>225</x:v>
      </x:c>
      <x:c r="B8" s="71" t="s">
        <x:v>49</x:v>
      </x:c>
      <x:c r="C8" s="71" t="s">
        <x:v>213</x:v>
      </x:c>
      <x:c r="D8" s="71">
        <x:v>6</x:v>
      </x:c>
      <x:c r="E8" s="71" t="s">
        <x:v>226</x:v>
      </x:c>
      <x:c r="F8" s="71" t="s">
        <x:v>227</x:v>
      </x:c>
      <x:c r="G8" s="71" t="s">
        <x:v>216</x:v>
      </x:c>
      <x:c r="H8" s="71">
        <x:v>1</x:v>
      </x:c>
      <x:c r="I8" s="71" t="s">
        <x:v>204</x:v>
      </x:c>
      <x:c r="J8" s="72">
        <x:v>1.8</x:v>
      </x:c>
      <x:c r="K8" s="73"/>
      <x:c r="L8" s="72"/>
      <x:c r="M8" s="73">
        <x:v>3</x:v>
      </x:c>
      <x:c r="N8" s="72"/>
      <x:c r="O8" s="72"/>
      <x:c r="P8" s="71"/>
      <x:c r="Q8" s="71"/>
      <x:c r="R8" s="71"/>
      <x:c r="S8" s="71" t="s">
        <x:v>228</x:v>
      </x:c>
    </x:row>
    <x:row r="9" s="29" customFormat="1" ht="15" customHeight="1">
      <x:c r="A9" s="74" t="s">
        <x:v>229</x:v>
      </x:c>
      <x:c r="B9" s="75" t="s">
        <x:v>49</x:v>
      </x:c>
      <x:c r="C9" s="75" t="s">
        <x:v>219</x:v>
      </x:c>
      <x:c r="D9" s="75">
        <x:v>6</x:v>
      </x:c>
      <x:c r="E9" s="75" t="s">
        <x:v>230</x:v>
      </x:c>
      <x:c r="F9" s="75" t="s">
        <x:v>231</x:v>
      </x:c>
      <x:c r="G9" s="75" t="s">
        <x:v>222</x:v>
      </x:c>
      <x:c r="H9" s="75">
        <x:v>1</x:v>
      </x:c>
      <x:c r="I9" s="75" t="s">
        <x:v>204</x:v>
      </x:c>
      <x:c r="J9" s="76"/>
      <x:c r="K9" s="77">
        <x:v>2</x:v>
      </x:c>
      <x:c r="L9" s="76">
        <x:v>0.85</x:v>
      </x:c>
      <x:c r="M9" s="77">
        <x:v>3</x:v>
      </x:c>
      <x:c r="N9" s="76"/>
      <x:c r="O9" s="76"/>
      <x:c r="P9" s="75"/>
      <x:c r="Q9" s="75"/>
      <x:c r="R9" s="75"/>
      <x:c r="S9" s="75" t="s">
        <x:v>232</x:v>
      </x:c>
    </x:row>
    <x:row r="10" ht="15" customHeight="1">
      <x:c r="A10" s="70" t="s">
        <x:v>233</x:v>
      </x:c>
      <x:c r="B10" s="71" t="s">
        <x:v>49</x:v>
      </x:c>
      <x:c r="C10" s="71" t="s">
        <x:v>213</x:v>
      </x:c>
      <x:c r="D10" s="71">
        <x:v>7</x:v>
      </x:c>
      <x:c r="E10" s="71" t="s">
        <x:v>234</x:v>
      </x:c>
      <x:c r="F10" s="71" t="s">
        <x:v>235</x:v>
      </x:c>
      <x:c r="G10" s="71" t="s">
        <x:v>209</x:v>
      </x:c>
      <x:c r="H10" s="71">
        <x:v>1</x:v>
      </x:c>
      <x:c r="I10" s="71" t="s">
        <x:v>236</x:v>
      </x:c>
      <x:c r="J10" s="72"/>
      <x:c r="K10" s="73"/>
      <x:c r="L10" s="72"/>
      <x:c r="M10" s="73">
        <x:v>5</x:v>
      </x:c>
      <x:c r="N10" s="72">
        <x:v>1.3</x:v>
      </x:c>
      <x:c r="O10" s="72"/>
      <x:c r="P10" s="71"/>
      <x:c r="Q10" s="71"/>
      <x:c r="R10" s="71"/>
      <x:c r="S10" s="71" t="s">
        <x:v>237</x:v>
      </x:c>
    </x:row>
    <x:row r="11" s="29" customFormat="1" ht="15" customHeight="1">
      <x:c r="A11" s="74" t="s">
        <x:v>238</x:v>
      </x:c>
      <x:c r="B11" s="75" t="s">
        <x:v>49</x:v>
      </x:c>
      <x:c r="C11" s="75" t="s">
        <x:v>219</x:v>
      </x:c>
      <x:c r="D11" s="75">
        <x:v>7</x:v>
      </x:c>
      <x:c r="E11" s="75" t="s">
        <x:v>239</x:v>
      </x:c>
      <x:c r="F11" s="75" t="s">
        <x:v>240</x:v>
      </x:c>
      <x:c r="G11" s="75" t="s">
        <x:v>222</x:v>
      </x:c>
      <x:c r="H11" s="75">
        <x:v>3</x:v>
      </x:c>
      <x:c r="I11" s="75"/>
      <x:c r="J11" s="76"/>
      <x:c r="K11" s="77"/>
      <x:c r="L11" s="76"/>
      <x:c r="M11" s="77"/>
      <x:c r="N11" s="76"/>
      <x:c r="O11" s="76"/>
      <x:c r="P11" s="75"/>
      <x:c r="Q11" s="75"/>
      <x:c r="R11" s="75" t="s">
        <x:v>241</x:v>
      </x:c>
      <x:c r="S11" s="75" t="s">
        <x:v>242</x:v>
      </x:c>
    </x:row>
    <x:row r="12" ht="15" customHeight="1">
      <x:c r="A12" s="70" t="s">
        <x:v>243</x:v>
      </x:c>
      <x:c r="B12" s="71" t="s">
        <x:v>49</x:v>
      </x:c>
      <x:c r="C12" s="71" t="s">
        <x:v>213</x:v>
      </x:c>
      <x:c r="D12" s="71">
        <x:v>8</x:v>
      </x:c>
      <x:c r="E12" s="71" t="s">
        <x:v>244</x:v>
      </x:c>
      <x:c r="F12" s="71" t="s">
        <x:v>245</x:v>
      </x:c>
      <x:c r="G12" s="71" t="s">
        <x:v>216</x:v>
      </x:c>
      <x:c r="H12" s="71">
        <x:v>3</x:v>
      </x:c>
      <x:c r="I12" s="71"/>
      <x:c r="J12" s="72"/>
      <x:c r="K12" s="73"/>
      <x:c r="L12" s="72"/>
      <x:c r="M12" s="73"/>
      <x:c r="N12" s="72"/>
      <x:c r="O12" s="72"/>
      <x:c r="P12" s="71"/>
      <x:c r="Q12" s="71"/>
      <x:c r="R12" s="71"/>
      <x:c r="S12" s="71" t="s">
        <x:v>246</x:v>
      </x:c>
    </x:row>
    <x:row r="13" s="29" customFormat="1" ht="15" customHeight="1">
      <x:c r="A13" s="74" t="s">
        <x:v>247</x:v>
      </x:c>
      <x:c r="B13" s="75" t="s">
        <x:v>49</x:v>
      </x:c>
      <x:c r="C13" s="75" t="s">
        <x:v>219</x:v>
      </x:c>
      <x:c r="D13" s="75">
        <x:v>8</x:v>
      </x:c>
      <x:c r="E13" s="75" t="s">
        <x:v>248</x:v>
      </x:c>
      <x:c r="F13" s="75" t="s">
        <x:v>221</x:v>
      </x:c>
      <x:c r="G13" s="75" t="s">
        <x:v>222</x:v>
      </x:c>
      <x:c r="H13" s="75">
        <x:v>1</x:v>
      </x:c>
      <x:c r="I13" s="75" t="s">
        <x:v>204</x:v>
      </x:c>
      <x:c r="J13" s="76"/>
      <x:c r="K13" s="77">
        <x:v>3</x:v>
      </x:c>
      <x:c r="L13" s="76">
        <x:v>0.7</x:v>
      </x:c>
      <x:c r="M13" s="77">
        <x:v>4</x:v>
      </x:c>
      <x:c r="N13" s="76"/>
      <x:c r="O13" s="76"/>
      <x:c r="P13" s="75"/>
      <x:c r="Q13" s="75"/>
      <x:c r="R13" s="75"/>
      <x:c r="S13" s="75" t="s">
        <x:v>249</x:v>
      </x:c>
    </x:row>
    <x:row r="14" ht="15" customHeight="1">
      <x:c r="A14" s="70" t="s">
        <x:v>250</x:v>
      </x:c>
      <x:c r="B14" s="71" t="s">
        <x:v>49</x:v>
      </x:c>
      <x:c r="C14" s="71" t="s">
        <x:v>213</x:v>
      </x:c>
      <x:c r="D14" s="71">
        <x:v>9</x:v>
      </x:c>
      <x:c r="E14" s="71" t="s">
        <x:v>251</x:v>
      </x:c>
      <x:c r="F14" s="71" t="s">
        <x:v>252</x:v>
      </x:c>
      <x:c r="G14" s="71" t="s">
        <x:v>253</x:v>
      </x:c>
      <x:c r="H14" s="71">
        <x:v>1</x:v>
      </x:c>
      <x:c r="I14" s="71" t="s">
        <x:v>204</x:v>
      </x:c>
      <x:c r="J14" s="72">
        <x:v>2.7</x:v>
      </x:c>
      <x:c r="K14" s="73"/>
      <x:c r="L14" s="72"/>
      <x:c r="M14" s="73">
        <x:v>5</x:v>
      </x:c>
      <x:c r="N14" s="72"/>
      <x:c r="O14" s="72"/>
      <x:c r="P14" s="71"/>
      <x:c r="Q14" s="71"/>
      <x:c r="R14" s="71"/>
      <x:c r="S14" s="71" t="s">
        <x:v>254</x:v>
      </x:c>
    </x:row>
    <x:row r="15" ht="15" customHeight="1">
      <x:c r="A15" s="74" t="s">
        <x:v>255</x:v>
      </x:c>
      <x:c r="B15" s="75" t="s">
        <x:v>49</x:v>
      </x:c>
      <x:c r="C15" s="75" t="s">
        <x:v>219</x:v>
      </x:c>
      <x:c r="D15" s="75">
        <x:v>9</x:v>
      </x:c>
      <x:c r="E15" s="75" t="s">
        <x:v>256</x:v>
      </x:c>
      <x:c r="F15" s="75" t="s">
        <x:v>257</x:v>
      </x:c>
      <x:c r="G15" s="75" t="s">
        <x:v>253</x:v>
      </x:c>
      <x:c r="H15" s="75">
        <x:v>1</x:v>
      </x:c>
      <x:c r="I15" s="75" t="s">
        <x:v>204</x:v>
      </x:c>
      <x:c r="J15" s="76"/>
      <x:c r="K15" s="77">
        <x:v>4</x:v>
      </x:c>
      <x:c r="L15" s="76">
        <x:v>0.8</x:v>
      </x:c>
      <x:c r="M15" s="77">
        <x:v>5</x:v>
      </x:c>
      <x:c r="N15" s="76"/>
      <x:c r="O15" s="76"/>
      <x:c r="P15" s="75"/>
      <x:c r="Q15" s="75"/>
      <x:c r="R15" s="75"/>
      <x:c r="S15" s="75" t="s">
        <x:v>258</x:v>
      </x:c>
    </x:row>
    <x:row r="16" ht="15" customHeight="1">
      <x:c r="A16" s="66" t="s">
        <x:v>259</x:v>
      </x:c>
      <x:c r="B16" s="67" t="s">
        <x:v>53</x:v>
      </x:c>
      <x:c r="C16" s="67" t="s">
        <x:v>76</x:v>
      </x:c>
      <x:c r="D16" s="67">
        <x:v>1</x:v>
      </x:c>
      <x:c r="E16" s="67" t="s">
        <x:v>260</x:v>
      </x:c>
      <x:c r="F16" s="67" t="s">
        <x:v>261</x:v>
      </x:c>
      <x:c r="G16" s="67" t="s">
        <x:v>193</x:v>
      </x:c>
      <x:c r="H16" s="67">
        <x:v>3</x:v>
      </x:c>
      <x:c r="I16" s="67"/>
      <x:c r="J16" s="68"/>
      <x:c r="K16" s="69"/>
      <x:c r="L16" s="68"/>
      <x:c r="M16" s="69"/>
      <x:c r="N16" s="68"/>
      <x:c r="O16" s="68"/>
      <x:c r="P16" s="67"/>
      <x:c r="Q16" s="67"/>
      <x:c r="R16" s="67"/>
      <x:c r="S16" s="67" t="s">
        <x:v>262</x:v>
      </x:c>
    </x:row>
    <x:row r="17" ht="26.399999618530273" customHeight="1">
      <x:c r="A17" s="66" t="s">
        <x:v>263</x:v>
      </x:c>
      <x:c r="B17" s="67" t="s">
        <x:v>53</x:v>
      </x:c>
      <x:c r="C17" s="67" t="s">
        <x:v>76</x:v>
      </x:c>
      <x:c r="D17" s="67">
        <x:v>2</x:v>
      </x:c>
      <x:c r="E17" s="67" t="s">
        <x:v>264</x:v>
      </x:c>
      <x:c r="F17" s="67" t="s">
        <x:v>265</x:v>
      </x:c>
      <x:c r="G17" s="67" t="s">
        <x:v>266</x:v>
      </x:c>
      <x:c r="H17" s="67">
        <x:v>5</x:v>
      </x:c>
      <x:c r="I17" s="67"/>
      <x:c r="J17" s="68"/>
      <x:c r="K17" s="69"/>
      <x:c r="L17" s="68"/>
      <x:c r="M17" s="69"/>
      <x:c r="N17" s="68"/>
      <x:c r="O17" s="68"/>
      <x:c r="P17" s="67"/>
      <x:c r="Q17" s="67"/>
      <x:c r="R17" s="67"/>
      <x:c r="S17" s="67" t="s">
        <x:v>267</x:v>
      </x:c>
    </x:row>
    <x:row r="18" ht="15" customHeight="1">
      <x:c r="A18" s="66" t="s">
        <x:v>268</x:v>
      </x:c>
      <x:c r="B18" s="67" t="s">
        <x:v>53</x:v>
      </x:c>
      <x:c r="C18" s="67" t="s">
        <x:v>76</x:v>
      </x:c>
      <x:c r="D18" s="67">
        <x:v>3</x:v>
      </x:c>
      <x:c r="E18" s="67" t="s">
        <x:v>269</x:v>
      </x:c>
      <x:c r="F18" s="67" t="s">
        <x:v>270</x:v>
      </x:c>
      <x:c r="G18" s="67" t="s">
        <x:v>266</x:v>
      </x:c>
      <x:c r="H18" s="67">
        <x:v>1</x:v>
      </x:c>
      <x:c r="I18" s="67" t="s">
        <x:v>204</x:v>
      </x:c>
      <x:c r="J18" s="68">
        <x:v>1.3</x:v>
      </x:c>
      <x:c r="K18" s="69"/>
      <x:c r="L18" s="68"/>
      <x:c r="M18" s="69">
        <x:v>3</x:v>
      </x:c>
      <x:c r="N18" s="68"/>
      <x:c r="O18" s="68">
        <x:v>0.15</x:v>
      </x:c>
      <x:c r="P18" s="67"/>
      <x:c r="Q18" s="67"/>
      <x:c r="R18" s="67"/>
      <x:c r="S18" s="67" t="s">
        <x:v>271</x:v>
      </x:c>
    </x:row>
    <x:row r="19" ht="15" customHeight="1">
      <x:c r="A19" s="66" t="s">
        <x:v>272</x:v>
      </x:c>
      <x:c r="B19" s="67" t="s">
        <x:v>53</x:v>
      </x:c>
      <x:c r="C19" s="67" t="s">
        <x:v>76</x:v>
      </x:c>
      <x:c r="D19" s="67">
        <x:v>4</x:v>
      </x:c>
      <x:c r="E19" s="67" t="s">
        <x:v>273</x:v>
      </x:c>
      <x:c r="F19" s="67" t="s">
        <x:v>235</x:v>
      </x:c>
      <x:c r="G19" s="67" t="s">
        <x:v>209</x:v>
      </x:c>
      <x:c r="H19" s="67">
        <x:v>3</x:v>
      </x:c>
      <x:c r="I19" s="67"/>
      <x:c r="J19" s="68"/>
      <x:c r="K19" s="69"/>
      <x:c r="L19" s="68"/>
      <x:c r="M19" s="69"/>
      <x:c r="N19" s="68"/>
      <x:c r="O19" s="68"/>
      <x:c r="P19" s="67"/>
      <x:c r="Q19" s="67"/>
      <x:c r="R19" s="67"/>
      <x:c r="S19" s="67" t="s">
        <x:v>274</x:v>
      </x:c>
    </x:row>
    <x:row r="20" ht="15" customHeight="1">
      <x:c r="A20" s="78" t="s">
        <x:v>275</x:v>
      </x:c>
      <x:c r="B20" s="79" t="s">
        <x:v>53</x:v>
      </x:c>
      <x:c r="C20" s="79" t="s">
        <x:v>276</x:v>
      </x:c>
      <x:c r="D20" s="79">
        <x:v>5</x:v>
      </x:c>
      <x:c r="E20" s="79" t="s">
        <x:v>277</x:v>
      </x:c>
      <x:c r="F20" s="79" t="s">
        <x:v>278</x:v>
      </x:c>
      <x:c r="G20" s="79" t="s">
        <x:v>266</x:v>
      </x:c>
      <x:c r="H20" s="79">
        <x:v>5</x:v>
      </x:c>
      <x:c r="I20" s="79"/>
      <x:c r="J20" s="80"/>
      <x:c r="K20" s="81"/>
      <x:c r="L20" s="80"/>
      <x:c r="M20" s="81"/>
      <x:c r="N20" s="80"/>
      <x:c r="O20" s="80"/>
      <x:c r="P20" s="79"/>
      <x:c r="Q20" s="79"/>
      <x:c r="R20" s="79"/>
      <x:c r="S20" s="79" t="s">
        <x:v>279</x:v>
      </x:c>
    </x:row>
    <x:row r="21" ht="15" customHeight="1">
      <x:c r="A21" s="82" t="s">
        <x:v>280</x:v>
      </x:c>
      <x:c r="B21" s="83" t="s">
        <x:v>53</x:v>
      </x:c>
      <x:c r="C21" s="83" t="s">
        <x:v>281</x:v>
      </x:c>
      <x:c r="D21" s="83">
        <x:v>5</x:v>
      </x:c>
      <x:c r="E21" s="83" t="s">
        <x:v>282</x:v>
      </x:c>
      <x:c r="F21" s="83" t="s">
        <x:v>283</x:v>
      </x:c>
      <x:c r="G21" s="83" t="s">
        <x:v>284</x:v>
      </x:c>
      <x:c r="H21" s="83">
        <x:v>5</x:v>
      </x:c>
      <x:c r="I21" s="83"/>
      <x:c r="J21" s="84"/>
      <x:c r="K21" s="85"/>
      <x:c r="L21" s="84"/>
      <x:c r="M21" s="85"/>
      <x:c r="N21" s="84"/>
      <x:c r="O21" s="84"/>
      <x:c r="P21" s="83"/>
      <x:c r="Q21" s="83"/>
      <x:c r="R21" s="83"/>
      <x:c r="S21" s="83" t="s">
        <x:v>285</x:v>
      </x:c>
    </x:row>
    <x:row r="22" ht="15" customHeight="1">
      <x:c r="A22" s="78" t="s">
        <x:v>286</x:v>
      </x:c>
      <x:c r="B22" s="79" t="s">
        <x:v>53</x:v>
      </x:c>
      <x:c r="C22" s="79" t="s">
        <x:v>276</x:v>
      </x:c>
      <x:c r="D22" s="79">
        <x:v>6</x:v>
      </x:c>
      <x:c r="E22" s="79" t="s">
        <x:v>287</x:v>
      </x:c>
      <x:c r="F22" s="79" t="s">
        <x:v>197</x:v>
      </x:c>
      <x:c r="G22" s="79" t="s">
        <x:v>266</x:v>
      </x:c>
      <x:c r="H22" s="79">
        <x:v>1</x:v>
      </x:c>
      <x:c r="I22" s="79" t="s">
        <x:v>288</x:v>
      </x:c>
      <x:c r="J22" s="80"/>
      <x:c r="K22" s="81"/>
      <x:c r="L22" s="80"/>
      <x:c r="M22" s="81">
        <x:v>4</x:v>
      </x:c>
      <x:c r="N22" s="80"/>
      <x:c r="O22" s="80">
        <x:v>0.5</x:v>
      </x:c>
      <x:c r="P22" s="79"/>
      <x:c r="Q22" s="79"/>
      <x:c r="R22" s="79"/>
      <x:c r="S22" s="79" t="s">
        <x:v>289</x:v>
      </x:c>
    </x:row>
    <x:row r="23" ht="15" customHeight="1">
      <x:c r="A23" s="82" t="s">
        <x:v>290</x:v>
      </x:c>
      <x:c r="B23" s="83" t="s">
        <x:v>53</x:v>
      </x:c>
      <x:c r="C23" s="83" t="s">
        <x:v>281</x:v>
      </x:c>
      <x:c r="D23" s="83">
        <x:v>6</x:v>
      </x:c>
      <x:c r="E23" s="83" t="s">
        <x:v>291</x:v>
      </x:c>
      <x:c r="F23" s="83" t="s">
        <x:v>292</x:v>
      </x:c>
      <x:c r="G23" s="83" t="s">
        <x:v>284</x:v>
      </x:c>
      <x:c r="H23" s="83">
        <x:v>1</x:v>
      </x:c>
      <x:c r="I23" s="83" t="s">
        <x:v>293</x:v>
      </x:c>
      <x:c r="J23" s="84">
        <x:v>1.2</x:v>
      </x:c>
      <x:c r="K23" s="85"/>
      <x:c r="L23" s="84"/>
      <x:c r="M23" s="85">
        <x:v>3</x:v>
      </x:c>
      <x:c r="N23" s="84"/>
      <x:c r="O23" s="84"/>
      <x:c r="P23" s="83"/>
      <x:c r="Q23" s="83"/>
      <x:c r="R23" s="83"/>
      <x:c r="S23" s="83" t="s">
        <x:v>294</x:v>
      </x:c>
    </x:row>
    <x:row r="24" ht="15" customHeight="1">
      <x:c r="A24" s="78" t="s">
        <x:v>295</x:v>
      </x:c>
      <x:c r="B24" s="79" t="s">
        <x:v>53</x:v>
      </x:c>
      <x:c r="C24" s="79" t="s">
        <x:v>276</x:v>
      </x:c>
      <x:c r="D24" s="79">
        <x:v>7</x:v>
      </x:c>
      <x:c r="E24" s="79" t="s">
        <x:v>296</x:v>
      </x:c>
      <x:c r="F24" s="79" t="s">
        <x:v>235</x:v>
      </x:c>
      <x:c r="G24" s="79" t="s">
        <x:v>209</x:v>
      </x:c>
      <x:c r="H24" s="79">
        <x:v>1</x:v>
      </x:c>
      <x:c r="I24" s="79" t="s">
        <x:v>236</x:v>
      </x:c>
      <x:c r="J24" s="80"/>
      <x:c r="K24" s="81"/>
      <x:c r="L24" s="80"/>
      <x:c r="M24" s="81">
        <x:v>4</x:v>
      </x:c>
      <x:c r="N24" s="80">
        <x:v>0.7</x:v>
      </x:c>
      <x:c r="O24" s="80"/>
      <x:c r="P24" s="79"/>
      <x:c r="Q24" s="79"/>
      <x:c r="R24" s="79"/>
      <x:c r="S24" s="79" t="s">
        <x:v>297</x:v>
      </x:c>
    </x:row>
    <x:row r="25" ht="15" customHeight="1">
      <x:c r="A25" s="82" t="s">
        <x:v>298</x:v>
      </x:c>
      <x:c r="B25" s="83" t="s">
        <x:v>53</x:v>
      </x:c>
      <x:c r="C25" s="83" t="s">
        <x:v>281</x:v>
      </x:c>
      <x:c r="D25" s="83">
        <x:v>7</x:v>
      </x:c>
      <x:c r="E25" s="83" t="s">
        <x:v>299</x:v>
      </x:c>
      <x:c r="F25" s="83" t="s">
        <x:v>300</x:v>
      </x:c>
      <x:c r="G25" s="83" t="s">
        <x:v>284</x:v>
      </x:c>
      <x:c r="H25" s="83">
        <x:v>1</x:v>
      </x:c>
      <x:c r="I25" s="83" t="s">
        <x:v>293</x:v>
      </x:c>
      <x:c r="J25" s="84">
        <x:v>0</x:v>
      </x:c>
      <x:c r="K25" s="85"/>
      <x:c r="L25" s="84"/>
      <x:c r="M25" s="85">
        <x:v>4</x:v>
      </x:c>
      <x:c r="N25" s="84"/>
      <x:c r="O25" s="84"/>
      <x:c r="P25" s="83"/>
      <x:c r="Q25" s="83"/>
      <x:c r="R25" s="83"/>
      <x:c r="S25" s="83" t="s">
        <x:v>301</x:v>
      </x:c>
    </x:row>
    <x:row r="26" ht="15" customHeight="1">
      <x:c r="A26" s="78" t="s">
        <x:v>302</x:v>
      </x:c>
      <x:c r="B26" s="79" t="s">
        <x:v>53</x:v>
      </x:c>
      <x:c r="C26" s="79" t="s">
        <x:v>276</x:v>
      </x:c>
      <x:c r="D26" s="79">
        <x:v>8</x:v>
      </x:c>
      <x:c r="E26" s="79" t="s">
        <x:v>303</x:v>
      </x:c>
      <x:c r="F26" s="79" t="s">
        <x:v>304</x:v>
      </x:c>
      <x:c r="G26" s="79" t="s">
        <x:v>266</x:v>
      </x:c>
      <x:c r="H26" s="79">
        <x:v>3</x:v>
      </x:c>
      <x:c r="I26" s="79"/>
      <x:c r="J26" s="80"/>
      <x:c r="K26" s="81"/>
      <x:c r="L26" s="80"/>
      <x:c r="M26" s="81"/>
      <x:c r="N26" s="80"/>
      <x:c r="O26" s="80"/>
      <x:c r="P26" s="79"/>
      <x:c r="Q26" s="79"/>
      <x:c r="R26" s="79"/>
      <x:c r="S26" s="79" t="s">
        <x:v>305</x:v>
      </x:c>
    </x:row>
    <x:row r="27" ht="15" customHeight="1">
      <x:c r="A27" s="82" t="s">
        <x:v>306</x:v>
      </x:c>
      <x:c r="B27" s="83" t="s">
        <x:v>53</x:v>
      </x:c>
      <x:c r="C27" s="83" t="s">
        <x:v>281</x:v>
      </x:c>
      <x:c r="D27" s="83">
        <x:v>8</x:v>
      </x:c>
      <x:c r="E27" s="83" t="s">
        <x:v>307</x:v>
      </x:c>
      <x:c r="F27" s="83" t="s">
        <x:v>308</x:v>
      </x:c>
      <x:c r="G27" s="83" t="s">
        <x:v>284</x:v>
      </x:c>
      <x:c r="H27" s="83">
        <x:v>3</x:v>
      </x:c>
      <x:c r="I27" s="83"/>
      <x:c r="J27" s="84"/>
      <x:c r="K27" s="85"/>
      <x:c r="L27" s="84"/>
      <x:c r="M27" s="85"/>
      <x:c r="N27" s="84"/>
      <x:c r="O27" s="84"/>
      <x:c r="P27" s="83"/>
      <x:c r="Q27" s="83"/>
      <x:c r="R27" s="83"/>
      <x:c r="S27" s="83" t="s">
        <x:v>309</x:v>
      </x:c>
    </x:row>
    <x:row r="28" ht="15" customHeight="1">
      <x:c r="A28" s="78" t="s">
        <x:v>310</x:v>
      </x:c>
      <x:c r="B28" s="79" t="s">
        <x:v>53</x:v>
      </x:c>
      <x:c r="C28" s="79" t="s">
        <x:v>276</x:v>
      </x:c>
      <x:c r="D28" s="79">
        <x:v>9</x:v>
      </x:c>
      <x:c r="E28" s="79" t="s">
        <x:v>311</x:v>
      </x:c>
      <x:c r="F28" s="79" t="s">
        <x:v>312</x:v>
      </x:c>
      <x:c r="G28" s="79" t="s">
        <x:v>253</x:v>
      </x:c>
      <x:c r="H28" s="79">
        <x:v>1</x:v>
      </x:c>
      <x:c r="I28" s="79" t="s">
        <x:v>313</x:v>
      </x:c>
      <x:c r="J28" s="80">
        <x:v>2.2999999999999998</x:v>
      </x:c>
      <x:c r="K28" s="81"/>
      <x:c r="L28" s="80"/>
      <x:c r="M28" s="81">
        <x:v>5</x:v>
      </x:c>
      <x:c r="N28" s="80"/>
      <x:c r="O28" s="80">
        <x:v>0.75</x:v>
      </x:c>
      <x:c r="P28" s="79"/>
      <x:c r="Q28" s="79"/>
      <x:c r="R28" s="79"/>
      <x:c r="S28" s="79" t="s">
        <x:v>314</x:v>
      </x:c>
    </x:row>
    <x:row r="29" ht="15" customHeight="1">
      <x:c r="A29" s="82" t="s">
        <x:v>315</x:v>
      </x:c>
      <x:c r="B29" s="83" t="s">
        <x:v>53</x:v>
      </x:c>
      <x:c r="C29" s="83" t="s">
        <x:v>281</x:v>
      </x:c>
      <x:c r="D29" s="83">
        <x:v>9</x:v>
      </x:c>
      <x:c r="E29" s="83" t="s">
        <x:v>316</x:v>
      </x:c>
      <x:c r="F29" s="83" t="s">
        <x:v>231</x:v>
      </x:c>
      <x:c r="G29" s="83" t="s">
        <x:v>253</x:v>
      </x:c>
      <x:c r="H29" s="83">
        <x:v>1</x:v>
      </x:c>
      <x:c r="I29" s="83" t="s">
        <x:v>293</x:v>
      </x:c>
      <x:c r="J29" s="84">
        <x:v>2.6</x:v>
      </x:c>
      <x:c r="K29" s="85"/>
      <x:c r="L29" s="84"/>
      <x:c r="M29" s="85">
        <x:v>5</x:v>
      </x:c>
      <x:c r="N29" s="84"/>
      <x:c r="O29" s="84"/>
      <x:c r="P29" s="83"/>
      <x:c r="Q29" s="83"/>
      <x:c r="R29" s="83"/>
      <x:c r="S29" s="83" t="s">
        <x:v>317</x:v>
      </x:c>
    </x:row>
    <x:row r="30" ht="15" customHeight="1">
      <x:c r="A30" s="66" t="s">
        <x:v>318</x:v>
      </x:c>
      <x:c r="B30" s="67" t="s">
        <x:v>35</x:v>
      </x:c>
      <x:c r="C30" s="67" t="s">
        <x:v>76</x:v>
      </x:c>
      <x:c r="D30" s="67">
        <x:v>1</x:v>
      </x:c>
      <x:c r="E30" s="67" t="s">
        <x:v>319</x:v>
      </x:c>
      <x:c r="F30" s="67" t="s">
        <x:v>320</x:v>
      </x:c>
      <x:c r="G30" s="67" t="s">
        <x:v>193</x:v>
      </x:c>
      <x:c r="H30" s="67">
        <x:v>3</x:v>
      </x:c>
      <x:c r="I30" s="67"/>
      <x:c r="J30" s="68"/>
      <x:c r="K30" s="69"/>
      <x:c r="L30" s="68"/>
      <x:c r="M30" s="69"/>
      <x:c r="N30" s="68"/>
      <x:c r="O30" s="68"/>
      <x:c r="P30" s="67"/>
      <x:c r="Q30" s="67"/>
      <x:c r="R30" s="67"/>
      <x:c r="S30" s="67" t="s">
        <x:v>321</x:v>
      </x:c>
    </x:row>
    <x:row r="31" ht="15" customHeight="1">
      <x:c r="A31" s="66" t="s">
        <x:v>322</x:v>
      </x:c>
      <x:c r="B31" s="67" t="s">
        <x:v>35</x:v>
      </x:c>
      <x:c r="C31" s="67" t="s">
        <x:v>76</x:v>
      </x:c>
      <x:c r="D31" s="67">
        <x:v>2</x:v>
      </x:c>
      <x:c r="E31" s="67" t="s">
        <x:v>323</x:v>
      </x:c>
      <x:c r="F31" s="67" t="s">
        <x:v>324</x:v>
      </x:c>
      <x:c r="G31" s="67" t="s">
        <x:v>203</x:v>
      </x:c>
      <x:c r="H31" s="67">
        <x:v>3</x:v>
      </x:c>
      <x:c r="I31" s="67"/>
      <x:c r="J31" s="68"/>
      <x:c r="K31" s="69"/>
      <x:c r="L31" s="68"/>
      <x:c r="M31" s="69"/>
      <x:c r="N31" s="68"/>
      <x:c r="O31" s="68"/>
      <x:c r="P31" s="67"/>
      <x:c r="Q31" s="67"/>
      <x:c r="R31" s="67"/>
      <x:c r="S31" s="67" t="s">
        <x:v>325</x:v>
      </x:c>
    </x:row>
    <x:row r="32" ht="15" customHeight="1">
      <x:c r="A32" s="66" t="s">
        <x:v>326</x:v>
      </x:c>
      <x:c r="B32" s="67" t="s">
        <x:v>35</x:v>
      </x:c>
      <x:c r="C32" s="67" t="s">
        <x:v>76</x:v>
      </x:c>
      <x:c r="D32" s="67">
        <x:v>3</x:v>
      </x:c>
      <x:c r="E32" s="67" t="s">
        <x:v>327</x:v>
      </x:c>
      <x:c r="F32" s="67" t="s">
        <x:v>235</x:v>
      </x:c>
      <x:c r="G32" s="67" t="s">
        <x:v>209</x:v>
      </x:c>
      <x:c r="H32" s="67">
        <x:v>3</x:v>
      </x:c>
      <x:c r="I32" s="67"/>
      <x:c r="J32" s="68"/>
      <x:c r="K32" s="69"/>
      <x:c r="L32" s="68"/>
      <x:c r="M32" s="69"/>
      <x:c r="N32" s="68"/>
      <x:c r="O32" s="68"/>
      <x:c r="P32" s="67"/>
      <x:c r="Q32" s="67"/>
      <x:c r="R32" s="67"/>
      <x:c r="S32" s="67" t="s">
        <x:v>328</x:v>
      </x:c>
    </x:row>
    <x:row r="33" ht="15" customHeight="1">
      <x:c r="A33" s="66" t="s">
        <x:v>329</x:v>
      </x:c>
      <x:c r="B33" s="67" t="s">
        <x:v>35</x:v>
      </x:c>
      <x:c r="C33" s="67" t="s">
        <x:v>76</x:v>
      </x:c>
      <x:c r="D33" s="67">
        <x:v>4</x:v>
      </x:c>
      <x:c r="E33" s="67" t="s">
        <x:v>330</x:v>
      </x:c>
      <x:c r="F33" s="67" t="s">
        <x:v>331</x:v>
      </x:c>
      <x:c r="G33" s="67" t="s">
        <x:v>203</x:v>
      </x:c>
      <x:c r="H33" s="67">
        <x:v>1</x:v>
      </x:c>
      <x:c r="I33" s="67" t="s">
        <x:v>204</x:v>
      </x:c>
      <x:c r="J33" s="68">
        <x:v>1.5</x:v>
      </x:c>
      <x:c r="K33" s="69"/>
      <x:c r="L33" s="68"/>
      <x:c r="M33" s="69">
        <x:v>3</x:v>
      </x:c>
      <x:c r="N33" s="68"/>
      <x:c r="O33" s="68"/>
      <x:c r="P33" s="67"/>
      <x:c r="Q33" s="67"/>
      <x:c r="R33" s="67"/>
      <x:c r="S33" s="67" t="s">
        <x:v>332</x:v>
      </x:c>
    </x:row>
    <x:row r="34" ht="15" customHeight="1">
      <x:c r="A34" s="70" t="s">
        <x:v>333</x:v>
      </x:c>
      <x:c r="B34" s="71" t="s">
        <x:v>35</x:v>
      </x:c>
      <x:c r="C34" s="71" t="s">
        <x:v>334</x:v>
      </x:c>
      <x:c r="D34" s="71">
        <x:v>5</x:v>
      </x:c>
      <x:c r="E34" s="71" t="s">
        <x:v>335</x:v>
      </x:c>
      <x:c r="F34" s="71" t="s">
        <x:v>235</x:v>
      </x:c>
      <x:c r="G34" s="71" t="s">
        <x:v>209</x:v>
      </x:c>
      <x:c r="H34" s="71">
        <x:v>1</x:v>
      </x:c>
      <x:c r="I34" s="71" t="s">
        <x:v>236</x:v>
      </x:c>
      <x:c r="J34" s="72"/>
      <x:c r="K34" s="73"/>
      <x:c r="L34" s="72"/>
      <x:c r="M34" s="73">
        <x:v>3</x:v>
      </x:c>
      <x:c r="N34" s="72">
        <x:v>0.25</x:v>
      </x:c>
      <x:c r="O34" s="72"/>
      <x:c r="P34" s="71"/>
      <x:c r="Q34" s="71"/>
      <x:c r="R34" s="71"/>
      <x:c r="S34" s="71" t="s">
        <x:v>336</x:v>
      </x:c>
    </x:row>
    <x:row r="35" ht="15" customHeight="1">
      <x:c r="A35" s="74" t="s">
        <x:v>337</x:v>
      </x:c>
      <x:c r="B35" s="75" t="s">
        <x:v>35</x:v>
      </x:c>
      <x:c r="C35" s="75" t="s">
        <x:v>34</x:v>
      </x:c>
      <x:c r="D35" s="75">
        <x:v>5</x:v>
      </x:c>
      <x:c r="E35" s="75" t="s">
        <x:v>338</x:v>
      </x:c>
      <x:c r="F35" s="75" t="s">
        <x:v>331</x:v>
      </x:c>
      <x:c r="G35" s="75" t="s">
        <x:v>203</x:v>
      </x:c>
      <x:c r="H35" s="75">
        <x:v>3</x:v>
      </x:c>
      <x:c r="I35" s="75"/>
      <x:c r="J35" s="76"/>
      <x:c r="K35" s="77"/>
      <x:c r="L35" s="76"/>
      <x:c r="M35" s="77"/>
      <x:c r="N35" s="76"/>
      <x:c r="O35" s="76"/>
      <x:c r="P35" s="75"/>
      <x:c r="Q35" s="75"/>
      <x:c r="R35" s="75"/>
      <x:c r="S35" s="75" t="s">
        <x:v>339</x:v>
      </x:c>
    </x:row>
    <x:row r="36" ht="15" customHeight="1">
      <x:c r="A36" s="70" t="s">
        <x:v>340</x:v>
      </x:c>
      <x:c r="B36" s="71" t="s">
        <x:v>35</x:v>
      </x:c>
      <x:c r="C36" s="71" t="s">
        <x:v>334</x:v>
      </x:c>
      <x:c r="D36" s="71">
        <x:v>6</x:v>
      </x:c>
      <x:c r="E36" s="71" t="s">
        <x:v>341</x:v>
      </x:c>
      <x:c r="F36" s="71" t="s">
        <x:v>342</x:v>
      </x:c>
      <x:c r="G36" s="71" t="s">
        <x:v>209</x:v>
      </x:c>
      <x:c r="H36" s="71">
        <x:v>5</x:v>
      </x:c>
      <x:c r="I36" s="71"/>
      <x:c r="J36" s="72"/>
      <x:c r="K36" s="73"/>
      <x:c r="L36" s="72"/>
      <x:c r="M36" s="73"/>
      <x:c r="N36" s="72"/>
      <x:c r="O36" s="72"/>
      <x:c r="P36" s="71"/>
      <x:c r="Q36" s="71"/>
      <x:c r="R36" s="71"/>
      <x:c r="S36" s="71" t="s">
        <x:v>343</x:v>
      </x:c>
    </x:row>
    <x:row r="37" ht="15" customHeight="1">
      <x:c r="A37" s="74" t="s">
        <x:v>344</x:v>
      </x:c>
      <x:c r="B37" s="75" t="s">
        <x:v>35</x:v>
      </x:c>
      <x:c r="C37" s="75" t="s">
        <x:v>34</x:v>
      </x:c>
      <x:c r="D37" s="75">
        <x:v>6</x:v>
      </x:c>
      <x:c r="E37" s="75" t="s">
        <x:v>345</x:v>
      </x:c>
      <x:c r="F37" s="75" t="s">
        <x:v>324</x:v>
      </x:c>
      <x:c r="G37" s="75" t="s">
        <x:v>203</x:v>
      </x:c>
      <x:c r="H37" s="75">
        <x:v>1</x:v>
      </x:c>
      <x:c r="I37" s="75" t="s">
        <x:v>204</x:v>
      </x:c>
      <x:c r="J37" s="76" t="n">
        <x:v>1.8</x:v>
      </x:c>
      <x:c r="K37" s="77"/>
      <x:c r="L37" s="76"/>
      <x:c r="M37" s="77">
        <x:v>4</x:v>
      </x:c>
      <x:c r="N37" s="76"/>
      <x:c r="O37" s="76"/>
      <x:c r="P37" s="75"/>
      <x:c r="Q37" s="75"/>
      <x:c r="R37" s="75"/>
      <x:c r="S37" s="75" t="str">
        <x:v>현재 공격력의 180% 피해. 상대를 1턴간 기절시킨다. 쿨타임 4턴.</x:v>
      </x:c>
    </x:row>
    <x:row r="38" ht="15" customHeight="1">
      <x:c r="A38" s="70" t="s">
        <x:v>346</x:v>
      </x:c>
      <x:c r="B38" s="71" t="s">
        <x:v>35</x:v>
      </x:c>
      <x:c r="C38" s="71" t="s">
        <x:v>334</x:v>
      </x:c>
      <x:c r="D38" s="71">
        <x:v>7</x:v>
      </x:c>
      <x:c r="E38" s="71" t="s">
        <x:v>347</x:v>
      </x:c>
      <x:c r="F38" s="71" t="s">
        <x:v>348</x:v>
      </x:c>
      <x:c r="G38" s="71" t="s">
        <x:v>209</x:v>
      </x:c>
      <x:c r="H38" s="71">
        <x:v>3</x:v>
      </x:c>
      <x:c r="I38" s="71"/>
      <x:c r="J38" s="72"/>
      <x:c r="K38" s="73"/>
      <x:c r="L38" s="72"/>
      <x:c r="M38" s="73"/>
      <x:c r="N38" s="72"/>
      <x:c r="O38" s="72"/>
      <x:c r="P38" s="71"/>
      <x:c r="Q38" s="71"/>
      <x:c r="R38" s="71"/>
      <x:c r="S38" s="71" t="s">
        <x:v>349</x:v>
      </x:c>
    </x:row>
    <x:row r="39" ht="15" customHeight="1">
      <x:c r="A39" s="74" t="s">
        <x:v>350</x:v>
      </x:c>
      <x:c r="B39" s="75" t="s">
        <x:v>35</x:v>
      </x:c>
      <x:c r="C39" s="75" t="s">
        <x:v>34</x:v>
      </x:c>
      <x:c r="D39" s="75">
        <x:v>7</x:v>
      </x:c>
      <x:c r="E39" s="75" t="s">
        <x:v>351</x:v>
      </x:c>
      <x:c r="F39" s="75" t="s">
        <x:v>221</x:v>
      </x:c>
      <x:c r="G39" s="75" t="s">
        <x:v>203</x:v>
      </x:c>
      <x:c r="H39" s="75">
        <x:v>3</x:v>
      </x:c>
      <x:c r="I39" s="75"/>
      <x:c r="J39" s="76"/>
      <x:c r="K39" s="77"/>
      <x:c r="L39" s="76"/>
      <x:c r="M39" s="77"/>
      <x:c r="N39" s="76"/>
      <x:c r="O39" s="76"/>
      <x:c r="P39" s="75"/>
      <x:c r="Q39" s="75"/>
      <x:c r="R39" s="75"/>
      <x:c r="S39" s="75" t="s">
        <x:v>352</x:v>
      </x:c>
    </x:row>
    <x:row r="40" ht="15" customHeight="1">
      <x:c r="A40" s="70" t="s">
        <x:v>353</x:v>
      </x:c>
      <x:c r="B40" s="71" t="s">
        <x:v>35</x:v>
      </x:c>
      <x:c r="C40" s="71" t="s">
        <x:v>334</x:v>
      </x:c>
      <x:c r="D40" s="71">
        <x:v>8</x:v>
      </x:c>
      <x:c r="E40" s="71" t="s">
        <x:v>354</x:v>
      </x:c>
      <x:c r="F40" s="71" t="s">
        <x:v>235</x:v>
      </x:c>
      <x:c r="G40" s="71" t="s">
        <x:v>209</x:v>
      </x:c>
      <x:c r="H40" s="71">
        <x:v>1</x:v>
      </x:c>
      <x:c r="I40" s="71" t="s">
        <x:v>355</x:v>
      </x:c>
      <x:c r="J40" s="72"/>
      <x:c r="K40" s="73"/>
      <x:c r="L40" s="72"/>
      <x:c r="M40" s="73">
        <x:v>4</x:v>
      </x:c>
      <x:c r="N40" s="72">
        <x:v>0.25</x:v>
      </x:c>
      <x:c r="O40" s="72"/>
      <x:c r="P40" s="71"/>
      <x:c r="Q40" s="71"/>
      <x:c r="R40" s="71"/>
      <x:c r="S40" s="71" t="s">
        <x:v>356</x:v>
      </x:c>
    </x:row>
    <x:row r="41" ht="15" customHeight="1">
      <x:c r="A41" s="74" t="s">
        <x:v>357</x:v>
      </x:c>
      <x:c r="B41" s="75" t="s">
        <x:v>35</x:v>
      </x:c>
      <x:c r="C41" s="75" t="s">
        <x:v>34</x:v>
      </x:c>
      <x:c r="D41" s="75">
        <x:v>8</x:v>
      </x:c>
      <x:c r="E41" s="75" t="s">
        <x:v>358</x:v>
      </x:c>
      <x:c r="F41" s="75" t="s">
        <x:v>240</x:v>
      </x:c>
      <x:c r="G41" s="75" t="s">
        <x:v>203</x:v>
      </x:c>
      <x:c r="H41" s="75">
        <x:v>3</x:v>
      </x:c>
      <x:c r="I41" s="75"/>
      <x:c r="J41" s="76"/>
      <x:c r="K41" s="77"/>
      <x:c r="L41" s="76"/>
      <x:c r="M41" s="77"/>
      <x:c r="N41" s="76"/>
      <x:c r="O41" s="76"/>
      <x:c r="P41" s="75"/>
      <x:c r="Q41" s="75"/>
      <x:c r="R41" s="75"/>
      <x:c r="S41" s="75" t="s">
        <x:v>359</x:v>
      </x:c>
    </x:row>
    <x:row r="42" ht="15" customHeight="1">
      <x:c r="A42" s="70" t="s">
        <x:v>360</x:v>
      </x:c>
      <x:c r="B42" s="71" t="s">
        <x:v>35</x:v>
      </x:c>
      <x:c r="C42" s="71" t="s">
        <x:v>334</x:v>
      </x:c>
      <x:c r="D42" s="71">
        <x:v>9</x:v>
      </x:c>
      <x:c r="E42" s="71" t="s">
        <x:v>361</x:v>
      </x:c>
      <x:c r="F42" s="71" t="s">
        <x:v>270</x:v>
      </x:c>
      <x:c r="G42" s="71" t="s">
        <x:v>253</x:v>
      </x:c>
      <x:c r="H42" s="71">
        <x:v>1</x:v>
      </x:c>
      <x:c r="I42" s="71"/>
      <x:c r="J42" s="72"/>
      <x:c r="K42" s="73"/>
      <x:c r="L42" s="72"/>
      <x:c r="M42" s="73"/>
      <x:c r="N42" s="72"/>
      <x:c r="O42" s="72"/>
      <x:c r="P42" s="71"/>
      <x:c r="Q42" s="71"/>
      <x:c r="R42" s="71"/>
      <x:c r="S42" s="71" t="s">
        <x:v>362</x:v>
      </x:c>
    </x:row>
    <x:row r="43" ht="15" customHeight="1">
      <x:c r="A43" s="86" t="s">
        <x:v>363</x:v>
      </x:c>
      <x:c r="B43" s="87" t="s">
        <x:v>35</x:v>
      </x:c>
      <x:c r="C43" s="87" t="s">
        <x:v>34</x:v>
      </x:c>
      <x:c r="D43" s="87">
        <x:v>9</x:v>
      </x:c>
      <x:c r="E43" s="87" t="s">
        <x:v>364</x:v>
      </x:c>
      <x:c r="F43" s="87" t="s">
        <x:v>312</x:v>
      </x:c>
      <x:c r="G43" s="87" t="s">
        <x:v>253</x:v>
      </x:c>
      <x:c r="H43" s="87">
        <x:v>1</x:v>
      </x:c>
      <x:c r="I43" s="87" t="s">
        <x:v>365</x:v>
      </x:c>
      <x:c r="J43" s="88">
        <x:v>4.5</x:v>
      </x:c>
      <x:c r="K43" s="89"/>
      <x:c r="L43" s="88"/>
      <x:c r="M43" s="89">
        <x:v>5</x:v>
      </x:c>
      <x:c r="N43" s="88"/>
      <x:c r="O43" s="88"/>
      <x:c r="P43" s="87"/>
      <x:c r="Q43" s="87"/>
      <x:c r="R43" s="87"/>
      <x:c r="S43" s="87" t="s">
        <x:v>366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6" hidden="0" customWidth="1"/>
    <x:col min="2" max="2" width="6" hidden="0" customWidth="1"/>
    <x:col min="3" max="3" width="10.130000114440918" hidden="0" customWidth="1"/>
    <x:col min="5" max="5" width="18" hidden="0" customWidth="1"/>
    <x:col min="6" max="6" width="10.130000114440918" hidden="0" customWidth="1"/>
    <x:col min="10" max="10" width="12" hidden="0" customWidth="1"/>
    <x:col min="12" max="12" width="14.25" hidden="0" customWidth="1"/>
    <x:col min="14" max="14" width="18" hidden="0" customWidth="1"/>
    <x:col min="15" max="15" width="14.630000114440918" hidden="0" customWidth="1"/>
    <x:col min="16" max="16" width="8.25" hidden="0" customWidth="1"/>
    <x:col min="17" max="17" width="10.130000114440918" hidden="0" customWidth="1"/>
    <x:col min="18" max="18" width="14.25" hidden="0" customWidth="1"/>
    <x:col min="19" max="19" width="8.25" hidden="0" customWidth="1"/>
    <x:col min="20" max="20" width="4.25" hidden="0" customWidth="1"/>
    <x:col min="21" max="21" width="6.75" hidden="0" customWidth="1"/>
    <x:col min="23" max="23" width="6" hidden="0" customWidth="1"/>
    <x:col min="25" max="25" width="7.880000114440918" hidden="0" customWidth="1"/>
    <x:col min="26" max="26" width="12.380000114440918" hidden="0" customWidth="1"/>
    <x:col min="27" max="27" width="16" hidden="0" customWidth="1"/>
    <x:col min="28" max="28" width="14.25" hidden="0" customWidth="1"/>
    <x:col min="4" max="4" width="10.130000114440918" hidden="0" customWidth="1"/>
    <x:col min="7" max="7" width="10.130000114440918" hidden="0" customWidth="1"/>
    <x:col min="8" max="8" width="10.130000114440918" hidden="0" customWidth="1"/>
    <x:col min="9" max="9" width="10.130000114440918" hidden="0" customWidth="1"/>
    <x:col min="11" max="11" width="12" hidden="0" customWidth="1"/>
    <x:col min="13" max="13" width="14.25" hidden="0" customWidth="1"/>
    <x:col min="22" max="22" width="6" hidden="0" customWidth="1"/>
    <x:col min="24" max="24" width="7.880000114440918" hidden="0" customWidth="1"/>
    <x:col min="29" max="29" width="16" hidden="0" customWidth="1"/>
  </x:cols>
  <x:sheetData>
    <x:row r="1" ht="42" hidden="0" customHeight="1">
      <x:c r="A1" s="30" t="str">
        <x:v>직업</x:v>
      </x:c>
      <x:c r="B1" s="30" t="str">
        <x:v>전문화</x:v>
      </x:c>
      <x:c r="C1" s="30" t="str">
        <x:v>기본 주스탯</x:v>
      </x:c>
      <x:c r="D1" s="30" t="str">
        <x:v>장비 주스탯</x:v>
      </x:c>
      <x:c r="E1" s="30" t="str">
        <x:v>전문화·패시브 주스탯</x:v>
      </x:c>
      <x:c r="F1" s="30" t="str">
        <x:v>최종 주스탯</x:v>
      </x:c>
      <x:c r="G1" s="30" t="str">
        <x:v>공격력 최소</x:v>
      </x:c>
      <x:c r="H1" s="30" t="str">
        <x:v>공격력 평균</x:v>
      </x:c>
      <x:c r="I1" s="30" t="str">
        <x:v>공격력 최대</x:v>
      </x:c>
      <x:c r="J1" s="30" t="str">
        <x:v>기본공격 배율</x:v>
      </x:c>
      <x:c r="K1" s="30" t="str">
        <x:v>기본공격 피해</x:v>
      </x:c>
      <x:c r="L1" s="30" t="str">
        <x:v>기본 치명타 배율</x:v>
      </x:c>
      <x:c r="M1" s="30" t="str">
        <x:v>기본 치명타 피해</x:v>
      </x:c>
      <x:c r="N1" s="30" t="str">
        <x:v>비교 스킬 이름</x:v>
      </x:c>
      <x:c r="O1" s="30" t="str">
        <x:v>비교 스킬 총 배율</x:v>
      </x:c>
      <x:c r="P1" s="30" t="str">
        <x:v>스킬 피해</x:v>
      </x:c>
      <x:c r="Q1" s="30" t="str">
        <x:v>치명타 확률</x:v>
      </x:c>
      <x:c r="R1" s="30" t="str">
        <x:v>스킬 치명타 배율</x:v>
      </x:c>
      <x:c r="S1" s="30" t="str">
        <x:v>체력 스탯</x:v>
      </x:c>
      <x:c r="T1" s="30" t="str">
        <x:v>레벨</x:v>
      </x:c>
      <x:c r="U1" s="30" t="str">
        <x:v>최대 HP</x:v>
      </x:c>
      <x:c r="V1" s="30" t="str">
        <x:v>회복률</x:v>
      </x:c>
      <x:c r="W1" s="30" t="str">
        <x:v>회복량</x:v>
      </x:c>
      <x:c r="X1" s="30" t="str">
        <x:v>보호막률</x:v>
      </x:c>
      <x:c r="Y1" s="30" t="str">
        <x:v>보호막량</x:v>
      </x:c>
      <x:c r="Z1" s="30" t="str">
        <x:v>전 공격 빗나감</x:v>
      </x:c>
      <x:c r="AA1" s="30" t="str">
        <x:v>몬스터 기본 빗나감</x:v>
      </x:c>
      <x:c r="AB1" s="30" t="str">
        <x:v>신앙의 광채 추가</x:v>
      </x:c>
      <x:c r="AC1" s="30" t="str">
        <x:v>몬스터 최종 빗나감</x:v>
      </x:c>
    </x:row>
    <x:row r="2" ht="14" hidden="0" customHeight="1">
      <x:c r="A2" s="36" t="str">
        <x:v>전사</x:v>
      </x:c>
      <x:c r="B2" s="36" t="str">
        <x:v>방어</x:v>
      </x:c>
      <x:c r="C2" s="57" t="n">
        <x:v>8</x:v>
      </x:c>
      <x:c r="D2" s="57" t="n">
        <x:v>1</x:v>
      </x:c>
      <x:c r="E2" s="57" t="n">
        <x:v>0</x:v>
      </x:c>
      <x:c r="F2" s="58" t="n">
        <x:f t="shared" ref="F2:F7" si="0">SUM(C2:E2)</x:f>
        <x:v>9</x:v>
      </x:c>
      <x:c r="G2" s="58" t="n">
        <x:f t="shared" ref="G2:G7" si="1">MAX(1,ROUND(F2*0.3,0))</x:f>
        <x:v>3</x:v>
      </x:c>
      <x:c r="H2" s="58" t="n">
        <x:f t="shared" ref="H2:H7" si="2">MAX(1,ROUND(F2*0.5,0))</x:f>
        <x:v>5</x:v>
      </x:c>
      <x:c r="I2" s="58" t="n">
        <x:f t="shared" ref="I2:I7" si="3">MAX(1,ROUND(F2*0.7,0))</x:f>
        <x:v>6</x:v>
      </x:c>
      <x:c r="J2" s="53" t="n">
        <x:v>1</x:v>
      </x:c>
      <x:c r="K2" s="58" t="n">
        <x:f t="shared" ref="K2:K7" si="4">ROUND(H2*J2,0)</x:f>
        <x:v>5</x:v>
      </x:c>
      <x:c r="L2" s="53" t="n">
        <x:v>1.5</x:v>
      </x:c>
      <x:c r="M2" s="58" t="n">
        <x:f t="shared" ref="M2:M7" si="5">ROUND(K2*L2,0)</x:f>
        <x:v>8</x:v>
      </x:c>
      <x:c r="N2" s="45" t="str">
        <x:v>방패 돌진</x:v>
      </x:c>
      <x:c r="O2" s="54" t="n">
        <x:v>0</x:v>
      </x:c>
      <x:c r="P2" s="59" t="n">
        <x:f>Y2</x:f>
        <x:v>17</x:v>
      </x:c>
      <x:c r="Q2" s="53" t="n">
        <x:v>0.15</x:v>
      </x:c>
      <x:c r="R2" s="53" t="n">
        <x:v>1.5</x:v>
      </x:c>
      <x:c r="S2" s="57" t="n">
        <x:v>10</x:v>
      </x:c>
      <x:c r="T2" s="60" t="n">
        <x:f t="shared" ref="T2:T7" si="6">8+R2*4+S2*2</x:f>
        <x:v>10</x:v>
      </x:c>
      <x:c r="U2" s="59" t="n">
        <x:f>8+S2*4+T2*2</x:f>
        <x:v>68</x:v>
      </x:c>
      <x:c r="V2" s="54" t="n">
        <x:v>0</x:v>
      </x:c>
      <x:c r="W2" s="59" t="n">
        <x:f>ROUND(U2*V2,0)</x:f>
        <x:v>0</x:v>
      </x:c>
      <x:c r="X2" s="54" t="n">
        <x:f t="shared" ref="X2:X7" si="7">ROUND(T2*W2,0)</x:f>
        <x:v>0.25</x:v>
      </x:c>
      <x:c r="Y2" s="61" t="n">
        <x:f>ROUND(U2*X2,0)</x:f>
        <x:v>17</x:v>
      </x:c>
      <x:c r="Z2" s="55" t="n">
        <x:v>0.1</x:v>
      </x:c>
      <x:c r="AA2" s="55" t="n">
        <x:v>0.1</x:v>
      </x:c>
      <x:c r="AB2" s="55" t="n">
        <x:f t="shared" ref="AB2:AB7" si="8">MIN(1,Z2+AA2)</x:f>
        <x:v>0</x:v>
      </x:c>
      <x:c r="AC2" s="56" t="n">
        <x:f>MIN(1,AA2+AB2)</x:f>
        <x:v>0.1</x:v>
      </x:c>
    </x:row>
    <x:row r="3" ht="14" hidden="0" customHeight="1">
      <x:c r="A3" s="36" t="str">
        <x:v>전사</x:v>
      </x:c>
      <x:c r="B3" s="36" t="str">
        <x:v>무기</x:v>
      </x:c>
      <x:c r="C3" s="57" t="n">
        <x:v>8</x:v>
      </x:c>
      <x:c r="D3" s="57" t="n">
        <x:v>1</x:v>
      </x:c>
      <x:c r="E3" s="57" t="n">
        <x:v>3</x:v>
      </x:c>
      <x:c r="F3" s="58" t="n">
        <x:f t="shared" si="0">SUM(C3:E3)</x:f>
        <x:v>12</x:v>
      </x:c>
      <x:c r="G3" s="58" t="n">
        <x:f t="shared" si="1">MAX(1,ROUND(F3*0.3,0))</x:f>
        <x:v>4</x:v>
      </x:c>
      <x:c r="H3" s="58" t="n">
        <x:f t="shared" si="2">MAX(1,ROUND(F3*0.5,0))</x:f>
        <x:v>6</x:v>
      </x:c>
      <x:c r="I3" s="58" t="n">
        <x:f t="shared" si="3">MAX(1,ROUND(F3*0.7,0))</x:f>
        <x:v>8</x:v>
      </x:c>
      <x:c r="J3" s="53" t="n">
        <x:v>1</x:v>
      </x:c>
      <x:c r="K3" s="58" t="n">
        <x:f t="shared" si="4">ROUND(H3*J3,0)</x:f>
        <x:v>6</x:v>
      </x:c>
      <x:c r="L3" s="53" t="n">
        <x:v>1.5</x:v>
      </x:c>
      <x:c r="M3" s="58" t="n">
        <x:f t="shared" si="5">ROUND(K3*L3,0)</x:f>
        <x:v>9</x:v>
      </x:c>
      <x:c r="N3" s="45" t="str">
        <x:v>파쇄 일격</x:v>
      </x:c>
      <x:c r="O3" s="54" t="n">
        <x:v>1.8</x:v>
      </x:c>
      <x:c r="P3" s="59" t="n">
        <x:f>ROUND(H3*O3,0)</x:f>
        <x:v>11</x:v>
      </x:c>
      <x:c r="Q3" s="53" t="n">
        <x:v>0.15</x:v>
      </x:c>
      <x:c r="R3" s="53" t="n">
        <x:v>1.5</x:v>
      </x:c>
      <x:c r="S3" s="57" t="n">
        <x:v>7</x:v>
      </x:c>
      <x:c r="T3" s="60" t="n">
        <x:f t="shared" si="6"/>
        <x:v>10</x:v>
      </x:c>
      <x:c r="U3" s="59" t="n">
        <x:f>8+S3*4+T3*2</x:f>
        <x:v>56</x:v>
      </x:c>
      <x:c r="V3" s="54" t="n">
        <x:v>0</x:v>
      </x:c>
      <x:c r="W3" s="59" t="n">
        <x:f>ROUND(U3*V3,0)</x:f>
        <x:v>0</x:v>
      </x:c>
      <x:c r="X3" s="54" t="n">
        <x:f t="shared" si="7"/>
        <x:v>0</x:v>
      </x:c>
      <x:c r="Y3" s="61" t="n">
        <x:f>ROUND(U3*X3,0)</x:f>
        <x:v>0</x:v>
      </x:c>
      <x:c r="Z3" s="55" t="n">
        <x:v>0.1</x:v>
      </x:c>
      <x:c r="AA3" s="55" t="n">
        <x:v>0.1</x:v>
      </x:c>
      <x:c r="AB3" s="55" t="n">
        <x:f t="shared" si="8"/>
        <x:v>0</x:v>
      </x:c>
      <x:c r="AC3" s="56" t="n">
        <x:f>MIN(1,AA3+AB3)</x:f>
        <x:v>0.1</x:v>
      </x:c>
    </x:row>
    <x:row r="4" ht="14" hidden="0" customHeight="1">
      <x:c r="A4" s="36" t="str">
        <x:v>마법사</x:v>
      </x:c>
      <x:c r="B4" s="36" t="str">
        <x:v>냉기</x:v>
      </x:c>
      <x:c r="C4" s="57" t="n">
        <x:v>9</x:v>
      </x:c>
      <x:c r="D4" s="57" t="n">
        <x:v>1</x:v>
      </x:c>
      <x:c r="E4" s="57" t="n">
        <x:v>2</x:v>
      </x:c>
      <x:c r="F4" s="58" t="n">
        <x:f t="shared" si="0">SUM(C4:E4)</x:f>
        <x:v>12</x:v>
      </x:c>
      <x:c r="G4" s="58" t="n">
        <x:f t="shared" si="1">MAX(1,ROUND(F4*0.3,0))</x:f>
        <x:v>4</x:v>
      </x:c>
      <x:c r="H4" s="58" t="n">
        <x:f t="shared" si="2">MAX(1,ROUND(F4*0.5,0))</x:f>
        <x:v>6</x:v>
      </x:c>
      <x:c r="I4" s="58" t="n">
        <x:f t="shared" si="3">MAX(1,ROUND(F4*0.7,0))</x:f>
        <x:v>8</x:v>
      </x:c>
      <x:c r="J4" s="53" t="n">
        <x:v>1</x:v>
      </x:c>
      <x:c r="K4" s="58" t="n">
        <x:f t="shared" si="4">ROUND(H4*J4,0)</x:f>
        <x:v>6</x:v>
      </x:c>
      <x:c r="L4" s="53" t="n">
        <x:v>1.5</x:v>
      </x:c>
      <x:c r="M4" s="58" t="n">
        <x:f t="shared" si="5">ROUND(K4*L4,0)</x:f>
        <x:v>9</x:v>
      </x:c>
      <x:c r="N4" s="45" t="str">
        <x:v>빙결 창</x:v>
      </x:c>
      <x:c r="O4" s="54" t="n">
        <x:v>1.8</x:v>
      </x:c>
      <x:c r="P4" s="59" t="n">
        <x:f>ROUND(H4*O4,0)</x:f>
        <x:v>11</x:v>
      </x:c>
      <x:c r="Q4" s="53" t="n">
        <x:v>0.15</x:v>
      </x:c>
      <x:c r="R4" s="53" t="n">
        <x:v>1.5</x:v>
      </x:c>
      <x:c r="S4" s="57" t="n">
        <x:v>4</x:v>
      </x:c>
      <x:c r="T4" s="60" t="n">
        <x:f t="shared" si="6"/>
        <x:v>10</x:v>
      </x:c>
      <x:c r="U4" s="59" t="n">
        <x:f>8+S4*4+T4*2</x:f>
        <x:v>44</x:v>
      </x:c>
      <x:c r="V4" s="54" t="n">
        <x:v>0</x:v>
      </x:c>
      <x:c r="W4" s="59" t="n">
        <x:f>ROUND(U4*V4,0)</x:f>
        <x:v>0</x:v>
      </x:c>
      <x:c r="X4" s="54" t="n">
        <x:f t="shared" si="7"/>
        <x:v>1.3</x:v>
      </x:c>
      <x:c r="Y4" s="61" t="n">
        <x:f>ROUND(U4*X4,0)</x:f>
        <x:v>57</x:v>
      </x:c>
      <x:c r="Z4" s="55" t="n">
        <x:v>0.1</x:v>
      </x:c>
      <x:c r="AA4" s="55" t="n">
        <x:v>0.1</x:v>
      </x:c>
      <x:c r="AB4" s="55" t="n">
        <x:f t="shared" si="8"/>
        <x:v>0</x:v>
      </x:c>
      <x:c r="AC4" s="56" t="n">
        <x:f>MIN(1,AA4+AB4)</x:f>
        <x:v>0.1</x:v>
      </x:c>
    </x:row>
    <x:row r="5" ht="14" hidden="0" customHeight="1">
      <x:c r="A5" s="36" t="str">
        <x:v>마법사</x:v>
      </x:c>
      <x:c r="B5" s="36" t="str">
        <x:v>화염</x:v>
      </x:c>
      <x:c r="C5" s="57" t="n">
        <x:v>9</x:v>
      </x:c>
      <x:c r="D5" s="57" t="n">
        <x:v>1</x:v>
      </x:c>
      <x:c r="E5" s="57" t="n">
        <x:v>4</x:v>
      </x:c>
      <x:c r="F5" s="58" t="n">
        <x:f t="shared" si="0">SUM(C5:E5)</x:f>
        <x:v>14</x:v>
      </x:c>
      <x:c r="G5" s="58" t="n">
        <x:f t="shared" si="1">MAX(1,ROUND(F5*0.3,0))</x:f>
        <x:v>4</x:v>
      </x:c>
      <x:c r="H5" s="58" t="n">
        <x:f t="shared" si="2">MAX(1,ROUND(F5*0.5,0))</x:f>
        <x:v>7</x:v>
      </x:c>
      <x:c r="I5" s="58" t="n">
        <x:f t="shared" si="3">MAX(1,ROUND(F5*0.7,0))</x:f>
        <x:v>10</x:v>
      </x:c>
      <x:c r="J5" s="53" t="n">
        <x:v>1</x:v>
      </x:c>
      <x:c r="K5" s="58" t="n">
        <x:f t="shared" si="4">ROUND(H5*J5,0)</x:f>
        <x:v>7</x:v>
      </x:c>
      <x:c r="L5" s="53" t="n">
        <x:v>1.5</x:v>
      </x:c>
      <x:c r="M5" s="58" t="n">
        <x:f t="shared" si="5">ROUND(K5*L5,0)</x:f>
        <x:v>11</x:v>
      </x:c>
      <x:c r="N5" s="45" t="str">
        <x:v>대화염구(2타 합계)</x:v>
      </x:c>
      <x:c r="O5" s="54" t="n">
        <x:v>1.7</x:v>
      </x:c>
      <x:c r="P5" s="59" t="n">
        <x:f>ROUND(H5*O5,0)</x:f>
        <x:v>12</x:v>
      </x:c>
      <x:c r="Q5" s="53" t="n">
        <x:v>0.15</x:v>
      </x:c>
      <x:c r="R5" s="53" t="n">
        <x:v>1.5</x:v>
      </x:c>
      <x:c r="S5" s="57" t="n">
        <x:v>2</x:v>
      </x:c>
      <x:c r="T5" s="60" t="n">
        <x:f t="shared" si="6"/>
        <x:v>10</x:v>
      </x:c>
      <x:c r="U5" s="59" t="n">
        <x:f>8+S5*4+T5*2</x:f>
        <x:v>36</x:v>
      </x:c>
      <x:c r="V5" s="54" t="n">
        <x:v>0</x:v>
      </x:c>
      <x:c r="W5" s="59" t="n">
        <x:f>ROUND(U5*V5,0)</x:f>
        <x:v>0</x:v>
      </x:c>
      <x:c r="X5" s="54" t="n">
        <x:f t="shared" si="7"/>
        <x:v>0</x:v>
      </x:c>
      <x:c r="Y5" s="61" t="n">
        <x:f>ROUND(U5*X5,0)</x:f>
        <x:v>0</x:v>
      </x:c>
      <x:c r="Z5" s="55" t="n">
        <x:v>0.1</x:v>
      </x:c>
      <x:c r="AA5" s="55" t="n">
        <x:v>0.1</x:v>
      </x:c>
      <x:c r="AB5" s="55" t="n">
        <x:f t="shared" si="8"/>
        <x:v>0</x:v>
      </x:c>
      <x:c r="AC5" s="56" t="n">
        <x:f>MIN(1,AA5+AB5)</x:f>
        <x:v>0.1</x:v>
      </x:c>
    </x:row>
    <x:row r="6" ht="14" hidden="0" customHeight="1">
      <x:c r="A6" s="36" t="str">
        <x:v>사제</x:v>
      </x:c>
      <x:c r="B6" s="36" t="str">
        <x:v>신성</x:v>
      </x:c>
      <x:c r="C6" s="57" t="n">
        <x:v>9</x:v>
      </x:c>
      <x:c r="D6" s="57" t="n">
        <x:v>1</x:v>
      </x:c>
      <x:c r="E6" s="57" t="n">
        <x:v>3</x:v>
      </x:c>
      <x:c r="F6" s="58" t="n">
        <x:f t="shared" si="0">SUM(C6:E6)</x:f>
        <x:v>13</x:v>
      </x:c>
      <x:c r="G6" s="58" t="n">
        <x:f t="shared" si="1">MAX(1,ROUND(F6*0.3,0))</x:f>
        <x:v>4</x:v>
      </x:c>
      <x:c r="H6" s="58" t="n">
        <x:f t="shared" si="2">MAX(1,ROUND(F6*0.5,0))</x:f>
        <x:v>7</x:v>
      </x:c>
      <x:c r="I6" s="58" t="n">
        <x:f t="shared" si="3">MAX(1,ROUND(F6*0.7,0))</x:f>
        <x:v>9</x:v>
      </x:c>
      <x:c r="J6" s="53" t="n">
        <x:v>1</x:v>
      </x:c>
      <x:c r="K6" s="58" t="n">
        <x:f t="shared" si="4">ROUND(H6*J6,0)</x:f>
        <x:v>7</x:v>
      </x:c>
      <x:c r="L6" s="53" t="n">
        <x:v>1.5</x:v>
      </x:c>
      <x:c r="M6" s="58" t="n">
        <x:f t="shared" si="5">ROUND(K6*L6,0)</x:f>
        <x:v>11</x:v>
      </x:c>
      <x:c r="N6" s="45" t="str">
        <x:v>은총의 심판</x:v>
      </x:c>
      <x:c r="O6" s="54" t="n">
        <x:v>2.3</x:v>
      </x:c>
      <x:c r="P6" s="59" t="n">
        <x:f>ROUND(H6*O6,0)</x:f>
        <x:v>16</x:v>
      </x:c>
      <x:c r="Q6" s="53" t="n">
        <x:v>0.15</x:v>
      </x:c>
      <x:c r="R6" s="53" t="n">
        <x:v>1.5</x:v>
      </x:c>
      <x:c r="S6" s="57" t="n">
        <x:v>4</x:v>
      </x:c>
      <x:c r="T6" s="60" t="n">
        <x:f t="shared" si="6"/>
        <x:v>10</x:v>
      </x:c>
      <x:c r="U6" s="59" t="n">
        <x:f>8+S6*4+T6*2</x:f>
        <x:v>44</x:v>
      </x:c>
      <x:c r="V6" s="54" t="n">
        <x:v>0.75</x:v>
      </x:c>
      <x:c r="W6" s="59" t="n">
        <x:f>ROUND(P6*V6,0)</x:f>
        <x:v>12</x:v>
      </x:c>
      <x:c r="X6" s="54" t="n">
        <x:f t="shared" si="7"/>
        <x:v>0.7</x:v>
      </x:c>
      <x:c r="Y6" s="61" t="n">
        <x:f>ROUND(U6*X6,0)</x:f>
        <x:v>31</x:v>
      </x:c>
      <x:c r="Z6" s="55" t="n">
        <x:v>0.1</x:v>
      </x:c>
      <x:c r="AA6" s="55" t="n">
        <x:v>0.1</x:v>
      </x:c>
      <x:c r="AB6" s="55" t="n">
        <x:f t="shared" si="8"/>
        <x:v>0.25</x:v>
      </x:c>
      <x:c r="AC6" s="56" t="n">
        <x:f>MIN(1,AA6+AB6)</x:f>
        <x:v>0.35</x:v>
      </x:c>
    </x:row>
    <x:row r="7" ht="14" hidden="0" customHeight="1">
      <x:c r="A7" s="36" t="str">
        <x:v>사제</x:v>
      </x:c>
      <x:c r="B7" s="36" t="str">
        <x:v>암흑</x:v>
      </x:c>
      <x:c r="C7" s="57" t="n">
        <x:v>9</x:v>
      </x:c>
      <x:c r="D7" s="57" t="n">
        <x:v>1</x:v>
      </x:c>
      <x:c r="E7" s="57" t="n">
        <x:v>4</x:v>
      </x:c>
      <x:c r="F7" s="58" t="n">
        <x:f t="shared" si="0">SUM(C7:E7)</x:f>
        <x:v>14</x:v>
      </x:c>
      <x:c r="G7" s="58" t="n">
        <x:f t="shared" si="1">MAX(1,ROUND(F7*0.3,0))</x:f>
        <x:v>4</x:v>
      </x:c>
      <x:c r="H7" s="58" t="n">
        <x:f t="shared" si="2">MAX(1,ROUND(F7*0.5,0))</x:f>
        <x:v>7</x:v>
      </x:c>
      <x:c r="I7" s="58" t="n">
        <x:f t="shared" si="3">MAX(1,ROUND(F7*0.7,0))</x:f>
        <x:v>10</x:v>
      </x:c>
      <x:c r="J7" s="53" t="n">
        <x:v>1</x:v>
      </x:c>
      <x:c r="K7" s="58" t="n">
        <x:f t="shared" si="4">ROUND(H7*J7,0)</x:f>
        <x:v>7</x:v>
      </x:c>
      <x:c r="L7" s="53" t="n">
        <x:v>1.5</x:v>
      </x:c>
      <x:c r="M7" s="58" t="n">
        <x:f t="shared" si="5">ROUND(K7*L7,0)</x:f>
        <x:v>11</x:v>
      </x:c>
      <x:c r="N7" s="45" t="str">
        <x:v>암흑 심판</x:v>
      </x:c>
      <x:c r="O7" s="54" t="n">
        <x:v>2.6</x:v>
      </x:c>
      <x:c r="P7" s="59" t="n">
        <x:f>ROUND(H7*O7,0)</x:f>
        <x:v>18</x:v>
      </x:c>
      <x:c r="Q7" s="53" t="n">
        <x:v>0.15</x:v>
      </x:c>
      <x:c r="R7" s="53" t="n">
        <x:v>1.5</x:v>
      </x:c>
      <x:c r="S7" s="57" t="n">
        <x:v>2</x:v>
      </x:c>
      <x:c r="T7" s="60" t="n">
        <x:f t="shared" si="6"/>
        <x:v>10</x:v>
      </x:c>
      <x:c r="U7" s="59" t="n">
        <x:f>8+S7*4+T7*2</x:f>
        <x:v>36</x:v>
      </x:c>
      <x:c r="V7" s="54" t="n">
        <x:v>0</x:v>
      </x:c>
      <x:c r="W7" s="59" t="n">
        <x:f>ROUND(U7*V7,0)</x:f>
        <x:v>0</x:v>
      </x:c>
      <x:c r="X7" s="54" t="n">
        <x:f t="shared" si="7"/>
        <x:v>0</x:v>
      </x:c>
      <x:c r="Y7" s="61" t="n">
        <x:f>ROUND(U7*X7,0)</x:f>
        <x:v>0</x:v>
      </x:c>
      <x:c r="Z7" s="55" t="n">
        <x:v>0.1</x:v>
      </x:c>
      <x:c r="AA7" s="55" t="n">
        <x:v>0.1</x:v>
      </x:c>
      <x:c r="AB7" s="55" t="n">
        <x:f t="shared" si="8"/>
        <x:v>0.25</x:v>
      </x:c>
      <x:c r="AC7" s="56" t="n">
        <x:f>MIN(1,AA7+AB7)</x:f>
        <x:v>0.35</x:v>
      </x:c>
    </x:row>
  </x:sheetData>
  <x:pageMargins left="0.7" right="0.7" top="0.75" bottom="0.75" header="0.3" footer="0.3"/>
</x:worksheet>
</file>