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iost\Desktop\63world (1)\63world\시트\"/>
    </mc:Choice>
  </mc:AlternateContent>
  <xr:revisionPtr revIDLastSave="0" documentId="13_ncr:1_{7052268F-48E9-4B97-B426-91D2E9FBAB2B}" xr6:coauthVersionLast="47" xr6:coauthVersionMax="47" xr10:uidLastSave="{00000000-0000-0000-0000-000000000000}"/>
  <bookViews>
    <workbookView xWindow="-110" yWindow="-110" windowWidth="34620" windowHeight="14620" activeTab="4" xr2:uid="{00000000-000D-0000-FFFF-FFFF00000000}"/>
  </bookViews>
  <sheets>
    <sheet name="사용법" sheetId="1" r:id="rId1"/>
    <sheet name="무기" sheetId="2" r:id="rId2"/>
    <sheet name="방어구·머리" sheetId="3" r:id="rId3"/>
    <sheet name="악세서리" sheetId="4" r:id="rId4"/>
    <sheet name="스킬" sheetId="5" r:id="rId5"/>
    <sheet name="계산식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7" i="6" l="1"/>
  <c r="AC7" i="6" s="1"/>
  <c r="T7" i="6"/>
  <c r="F7" i="6"/>
  <c r="I7" i="6" s="1"/>
  <c r="AB6" i="6"/>
  <c r="AC6" i="6" s="1"/>
  <c r="T6" i="6"/>
  <c r="U6" i="6" s="1"/>
  <c r="F6" i="6"/>
  <c r="I6" i="6" s="1"/>
  <c r="AB5" i="6"/>
  <c r="AC5" i="6" s="1"/>
  <c r="U5" i="6"/>
  <c r="W5" i="6" s="1"/>
  <c r="X5" i="6" s="1"/>
  <c r="T5" i="6"/>
  <c r="F5" i="6"/>
  <c r="I5" i="6" s="1"/>
  <c r="AB4" i="6"/>
  <c r="AC4" i="6" s="1"/>
  <c r="T4" i="6"/>
  <c r="F4" i="6"/>
  <c r="I4" i="6" s="1"/>
  <c r="AB3" i="6"/>
  <c r="AC3" i="6" s="1"/>
  <c r="U3" i="6"/>
  <c r="T3" i="6"/>
  <c r="F3" i="6"/>
  <c r="I3" i="6" s="1"/>
  <c r="AB2" i="6"/>
  <c r="AC2" i="6" s="1"/>
  <c r="U2" i="6"/>
  <c r="T2" i="6"/>
  <c r="F2" i="6"/>
  <c r="G2" i="6" s="1"/>
  <c r="I2" i="6" l="1"/>
  <c r="U4" i="6"/>
  <c r="Y5" i="6"/>
  <c r="W3" i="6"/>
  <c r="X3" i="6" s="1"/>
  <c r="Y3" i="6" s="1"/>
  <c r="G7" i="6"/>
  <c r="H7" i="6"/>
  <c r="W2" i="6"/>
  <c r="X2" i="6" s="1"/>
  <c r="Y2" i="6" s="1"/>
  <c r="P2" i="6" s="1"/>
  <c r="G6" i="6"/>
  <c r="H6" i="6"/>
  <c r="G5" i="6"/>
  <c r="H5" i="6"/>
  <c r="H2" i="6"/>
  <c r="K2" i="6" s="1"/>
  <c r="M2" i="6" s="1"/>
  <c r="G4" i="6"/>
  <c r="H4" i="6"/>
  <c r="U7" i="6"/>
  <c r="G3" i="6"/>
  <c r="H3" i="6"/>
  <c r="P5" i="6" l="1"/>
  <c r="K5" i="6"/>
  <c r="M5" i="6" s="1"/>
  <c r="P6" i="6"/>
  <c r="W6" i="6" s="1"/>
  <c r="X6" i="6" s="1"/>
  <c r="Y6" i="6" s="1"/>
  <c r="K6" i="6"/>
  <c r="M6" i="6" s="1"/>
  <c r="P7" i="6"/>
  <c r="K7" i="6"/>
  <c r="M7" i="6" s="1"/>
  <c r="W4" i="6"/>
  <c r="X4" i="6" s="1"/>
  <c r="Y4" i="6" s="1"/>
  <c r="K3" i="6"/>
  <c r="M3" i="6" s="1"/>
  <c r="P3" i="6"/>
  <c r="W7" i="6"/>
  <c r="X7" i="6" s="1"/>
  <c r="Y7" i="6" s="1"/>
  <c r="K4" i="6"/>
  <c r="M4" i="6" s="1"/>
  <c r="P4" i="6"/>
</calcChain>
</file>

<file path=xl/sharedStrings.xml><?xml version="1.0" encoding="utf-8"?>
<sst xmlns="http://schemas.openxmlformats.org/spreadsheetml/2006/main" count="689" uniqueCount="395">
  <si>
    <t>육삼빌딩의 세계 - 아이템·스킬 수정시트 (최신 현행화)</t>
  </si>
  <si>
    <t>기준</t>
  </si>
  <si>
    <t>2026-07-15 현재 게임 코드와 수정된 전투 규칙 기준</t>
  </si>
  <si>
    <t>편집</t>
  </si>
  <si>
    <t>파란 글씨 칸은 자유롭게 수정할 수 있습니다.</t>
  </si>
  <si>
    <t>식별자</t>
  </si>
  <si>
    <t>회색 id와 직업·부위 칸은 게임 연결용이므로 변경하지 마세요.</t>
  </si>
  <si>
    <t>계산식</t>
  </si>
  <si>
    <t>노란 입력 칸을 바꾸면 초록 수식 칸이 자동 계산됩니다.</t>
  </si>
  <si>
    <t>치명타</t>
  </si>
  <si>
    <t>빗나감</t>
  </si>
  <si>
    <t>모든 공격·공격 주문은 타격마다 10% 확률로 빗나갑니다. 회복·보호막·버프는 빗나가지 않습니다.</t>
  </si>
  <si>
    <t>다단 공격</t>
  </si>
  <si>
    <t>더블 어택과 다단 주문은 각 타격의 빗나감과 치명타를 독립적으로 계산합니다.</t>
  </si>
  <si>
    <t>원본 보존</t>
  </si>
  <si>
    <t>이 파일을 수정해 전달하면 id를 기준으로 게임 데이터에 반영할 수 있습니다.</t>
  </si>
  <si>
    <t>id(수정금지)</t>
  </si>
  <si>
    <t>부위</t>
  </si>
  <si>
    <t>직업</t>
  </si>
  <si>
    <t>이름</t>
  </si>
  <si>
    <t>가격(골드)</t>
  </si>
  <si>
    <t>가격(빌딩)</t>
  </si>
  <si>
    <t>레벨제한</t>
  </si>
  <si>
    <t>힘</t>
  </si>
  <si>
    <t>지능</t>
  </si>
  <si>
    <t>정신</t>
  </si>
  <si>
    <t>체력</t>
  </si>
  <si>
    <t>소지 힘</t>
  </si>
  <si>
    <t>소지 지능</t>
  </si>
  <si>
    <t>소지 정신</t>
  </si>
  <si>
    <t>소지 체력</t>
  </si>
  <si>
    <t>외형키</t>
  </si>
  <si>
    <t>설명</t>
  </si>
  <si>
    <t>bronzeGreatsword</t>
  </si>
  <si>
    <t>무기</t>
  </si>
  <si>
    <t>전사</t>
  </si>
  <si>
    <t>목검</t>
  </si>
  <si>
    <t>woodSwordPlus</t>
  </si>
  <si>
    <t>전사용 장비. 훈련용보다 단단한 목검입니다. 힘 +2, 체력 +1</t>
  </si>
  <si>
    <t>blueSword</t>
  </si>
  <si>
    <t>푸른 검</t>
  </si>
  <si>
    <t>mithrilSword</t>
  </si>
  <si>
    <t>전사용 장비. 푸른 빛이 도는 검입니다. 힘 +4, 체력 +1</t>
  </si>
  <si>
    <t>ironSword</t>
  </si>
  <si>
    <t>은빛 검</t>
  </si>
  <si>
    <t>전사용 장비. 은빛으로 벼려진 검입니다. 힘 +6, 체력 +2</t>
  </si>
  <si>
    <t>미스릴 검</t>
  </si>
  <si>
    <t>전사용 장비. 가볍고 강력한 미스릴 검입니다. 힘 +9, 체력 +3</t>
  </si>
  <si>
    <t>crystalStaff</t>
  </si>
  <si>
    <t>마법사</t>
  </si>
  <si>
    <t>떡갈나무 지팡이</t>
  </si>
  <si>
    <t>마법사용 장비. 숲의 기운이 깃든 지팡이입니다. 지능 +3</t>
  </si>
  <si>
    <t>holyBook</t>
  </si>
  <si>
    <t>사제</t>
  </si>
  <si>
    <t>기도서</t>
  </si>
  <si>
    <t>사제용 장비. 기초 기도문이 담긴 책입니다. 정신 +3</t>
  </si>
  <si>
    <t>oakStaff</t>
  </si>
  <si>
    <t>철목 지팡이</t>
  </si>
  <si>
    <t>마법사용 장비. 단단한 철목 지팡이입니다. 지능 +5</t>
  </si>
  <si>
    <t>ironwoodStaff</t>
  </si>
  <si>
    <t>수정 지팡이</t>
  </si>
  <si>
    <t>마법사용 장비. 수정의 마력이 흐르는 지팡이입니다. 지능 +7</t>
  </si>
  <si>
    <t>mithrilStaff</t>
  </si>
  <si>
    <t>미스릴 지팡이</t>
  </si>
  <si>
    <t>마법사용 장비. 푸른 마력이 흐르는 지팡이입니다. 지능 +10</t>
  </si>
  <si>
    <t>prayerBook</t>
  </si>
  <si>
    <t>빛의 성서</t>
  </si>
  <si>
    <t>사제용 장비. 빛의 기도문이 담긴 성서입니다. 정신 +5</t>
  </si>
  <si>
    <t>silverBook</t>
  </si>
  <si>
    <t>은빛 성서</t>
  </si>
  <si>
    <t>사제용 장비. 은빛 문양의 성서입니다. 정신 +7</t>
  </si>
  <si>
    <t>dawnTome</t>
  </si>
  <si>
    <t>새벽의 고서</t>
  </si>
  <si>
    <t>사제용 장비. 빛과 암흑의 문장이 함께 적힌 고서입니다. 정신 +10</t>
  </si>
  <si>
    <t>whiteCloak</t>
  </si>
  <si>
    <t>갑옷</t>
  </si>
  <si>
    <t>공용</t>
  </si>
  <si>
    <t>흰 망토</t>
  </si>
  <si>
    <t>cloak</t>
  </si>
  <si>
    <t>명진쌤이 챙겨준 기본 보급 망토. 체력 +1 (퀘스트 지급품)</t>
  </si>
  <si>
    <t>noviceHat</t>
  </si>
  <si>
    <t>머리</t>
  </si>
  <si>
    <t>수련 모자</t>
  </si>
  <si>
    <t>blueCap</t>
  </si>
  <si>
    <t>모든 직업 착용 가능. 체력 +1</t>
  </si>
  <si>
    <t>forestCloak</t>
  </si>
  <si>
    <t>숲의 망토</t>
  </si>
  <si>
    <t>greenCloak</t>
  </si>
  <si>
    <t>모든 직업 착용 가능. 체력 +2</t>
  </si>
  <si>
    <t>leatherArmor</t>
  </si>
  <si>
    <t>가죽 갑옷</t>
  </si>
  <si>
    <t>chestplate</t>
  </si>
  <si>
    <t>전사용 방어구. 체력 +2, 힘 +1</t>
  </si>
  <si>
    <t>steelArmor</t>
  </si>
  <si>
    <t>강철 흉갑</t>
  </si>
  <si>
    <t>전사용 방어구. 체력 +4, 힘 +1</t>
  </si>
  <si>
    <t>crimsonArmor</t>
  </si>
  <si>
    <t>진홍 판금 갑옷</t>
  </si>
  <si>
    <t>전사용 방어구. 체력 +6, 힘 +2</t>
  </si>
  <si>
    <t>skyRobe</t>
  </si>
  <si>
    <t>하늘빛 로브</t>
  </si>
  <si>
    <t>마법사용 로브. 체력 +2, 지능 +1</t>
  </si>
  <si>
    <t>navyRobe</t>
  </si>
  <si>
    <t>남색 현자 로브</t>
  </si>
  <si>
    <t>마법사용 로브. 체력 +3, 지능 +2</t>
  </si>
  <si>
    <t>violetRobe</t>
  </si>
  <si>
    <t>보랏빛 대마법사 로브</t>
  </si>
  <si>
    <t>마법사용 로브. 체력 +4, 지능 +3</t>
  </si>
  <si>
    <t>whiteVestment</t>
  </si>
  <si>
    <t>순백의 제의</t>
  </si>
  <si>
    <t>robe</t>
  </si>
  <si>
    <t>사제용 제의. 체력 +2, 정신 +1</t>
  </si>
  <si>
    <t>goldVestment</t>
  </si>
  <si>
    <t>금빛 축복 제의</t>
  </si>
  <si>
    <t>사제용 제의. 체력 +3, 정신 +2</t>
  </si>
  <si>
    <t>roseVestment</t>
  </si>
  <si>
    <t>장미빛 성자 제의</t>
  </si>
  <si>
    <t>사제용 제의. 체력 +4, 정신 +3</t>
  </si>
  <si>
    <t>leatherHelm</t>
  </si>
  <si>
    <t>가죽 투구</t>
  </si>
  <si>
    <t>helm</t>
  </si>
  <si>
    <t>전사용 투구. 체력 +1, 힘 +1</t>
  </si>
  <si>
    <t>steelHelm</t>
  </si>
  <si>
    <t>강철 투구</t>
  </si>
  <si>
    <t>전사용 투구. 체력 +2, 힘 +2</t>
  </si>
  <si>
    <t>crimsonHelm</t>
  </si>
  <si>
    <t>진홍 투구</t>
  </si>
  <si>
    <t>전사용 투구. 체력 +3, 힘 +3</t>
  </si>
  <si>
    <t>blueWizardHat</t>
  </si>
  <si>
    <t>파란 마법 고깔</t>
  </si>
  <si>
    <t>wizardHat</t>
  </si>
  <si>
    <t>마법사용 모자. 지능 +2</t>
  </si>
  <si>
    <t>navyWizardHat</t>
  </si>
  <si>
    <t>남색 별 고깔</t>
  </si>
  <si>
    <t>마법사용 모자. 지능 +3, 체력 +1</t>
  </si>
  <si>
    <t>violetWizardHat</t>
  </si>
  <si>
    <t>보라 현자 고깔</t>
  </si>
  <si>
    <t>마법사용 모자. 지능 +4, 체력 +1</t>
  </si>
  <si>
    <t>whiteHood</t>
  </si>
  <si>
    <t>순백 두건</t>
  </si>
  <si>
    <t>nurseCap</t>
  </si>
  <si>
    <t>사제용 두건. 정신 +2</t>
  </si>
  <si>
    <t>goldCirclet</t>
  </si>
  <si>
    <t>금빛 성관</t>
  </si>
  <si>
    <t>사제용 관. 정신 +3, 체력 +1</t>
  </si>
  <si>
    <t>roseHood</t>
  </si>
  <si>
    <t>장미빛 성자 두건</t>
  </si>
  <si>
    <t>사제용 두건. 정신 +4, 체력 +1</t>
  </si>
  <si>
    <t>starCape</t>
  </si>
  <si>
    <t>별빛 망토</t>
  </si>
  <si>
    <t>전설의 망토. 주요 능력치 +2, 체력 +4 (퀘스트 보상)</t>
  </si>
  <si>
    <t>honorCrown</t>
  </si>
  <si>
    <t>명예 왕관</t>
  </si>
  <si>
    <t>crown</t>
  </si>
  <si>
    <t>명예의 증표. 모든 주요 능력치 +2 (퀘스트 보상)</t>
  </si>
  <si>
    <t>featherWing</t>
  </si>
  <si>
    <t>악세서리</t>
  </si>
  <si>
    <t>하얀 날개 장식</t>
  </si>
  <si>
    <t>whiteWing</t>
  </si>
  <si>
    <t>순백의 날개. 장착: 정신 +2, 체력 +4 · 소지: 정신 +1</t>
  </si>
  <si>
    <t>sixthWing</t>
  </si>
  <si>
    <t>육삼 황금 날개</t>
  </si>
  <si>
    <t>63층의 바람을 담은 금빛 날개. 장착: 정신 +3, 체력 +2 · 소지: 체력 +1</t>
  </si>
  <si>
    <t>starPendant</t>
  </si>
  <si>
    <t>별빛 목걸이</t>
  </si>
  <si>
    <t>necklace</t>
  </si>
  <si>
    <t>가슴에서 반짝이는 별. 장착: 지능 +3 · 소지: 지능 +1</t>
  </si>
  <si>
    <t>guardAura</t>
  </si>
  <si>
    <t>수호의 오라</t>
  </si>
  <si>
    <t>aura</t>
  </si>
  <si>
    <t>몸을 감싸는 은은한 빛. 장착: 체력 +3 · 소지: 체력 +1</t>
  </si>
  <si>
    <t>cloverBadge</t>
  </si>
  <si>
    <t>네잎클로버 배지</t>
  </si>
  <si>
    <t>badge</t>
  </si>
  <si>
    <t>행운의 초록 배지. 장착: 힘 +3, 체력 +1 · 소지: 힘 +1</t>
  </si>
  <si>
    <t>전문화</t>
  </si>
  <si>
    <t>단계</t>
  </si>
  <si>
    <t>아이콘</t>
  </si>
  <si>
    <t>종류</t>
  </si>
  <si>
    <t>최대랭크</t>
  </si>
  <si>
    <t>액티브유형</t>
  </si>
  <si>
    <t>피해배율</t>
  </si>
  <si>
    <t>타격수</t>
  </si>
  <si>
    <t>타격배율</t>
  </si>
  <si>
    <t>쿨타임</t>
  </si>
  <si>
    <t>보호막률</t>
  </si>
  <si>
    <t>회복률</t>
  </si>
  <si>
    <t>처형HP</t>
  </si>
  <si>
    <t>치명타확률보너스</t>
  </si>
  <si>
    <t>스킬치명타보너스</t>
  </si>
  <si>
    <t>mage_basic_mana</t>
  </si>
  <si>
    <t>기초 마력 수련</t>
  </si>
  <si>
    <t>🔷</t>
  </si>
  <si>
    <t>root</t>
  </si>
  <si>
    <t>마법사의 기본 마력 수련. 지능+1.</t>
  </si>
  <si>
    <t>mage_basic_element</t>
  </si>
  <si>
    <t>원소 폭발</t>
  </si>
  <si>
    <t>✨</t>
  </si>
  <si>
    <t>3/6/9/12/15</t>
  </si>
  <si>
    <t>상대의 원소를 폭발시킨다. 상대의 남은 체력 3,6,9,12,15 이하 즉시 처형</t>
  </si>
  <si>
    <t>mage_basic_bolt</t>
  </si>
  <si>
    <t>마력탄</t>
  </si>
  <si>
    <t>🌠</t>
  </si>
  <si>
    <t>power</t>
  </si>
  <si>
    <t>damage</t>
  </si>
  <si>
    <t>현재 공격력의 150% 피해. 쿨타임 2턴.</t>
  </si>
  <si>
    <t>mage_basic_barrier</t>
  </si>
  <si>
    <t>환기</t>
  </si>
  <si>
    <t>🔮</t>
  </si>
  <si>
    <t>guard</t>
  </si>
  <si>
    <t>buff</t>
  </si>
  <si>
    <t>3턴간 자신의 지능을 30% 늘린다. 쿨타임 4턴.</t>
  </si>
  <si>
    <t>mage_frost_focus_v24</t>
  </si>
  <si>
    <t>냉기</t>
  </si>
  <si>
    <t>냉기 집중</t>
  </si>
  <si>
    <t>❄️</t>
  </si>
  <si>
    <t>frost</t>
  </si>
  <si>
    <t>냉기의 흐름에 집중한다. 지능 +2, 모든 공격 주문에 상대 기절 확률 7,21,35%</t>
  </si>
  <si>
    <t>mage_fire_focus_v24</t>
  </si>
  <si>
    <t>화염</t>
  </si>
  <si>
    <t>화염 집중</t>
  </si>
  <si>
    <t>🔥</t>
  </si>
  <si>
    <t>fire</t>
  </si>
  <si>
    <t>0.1/0.2/0.3</t>
  </si>
  <si>
    <t>화염의 흐름에 집중한다. 지능 +1. 치명타 확률 10,20,30% 증가</t>
  </si>
  <si>
    <t>mage_frost_lance_v24</t>
  </si>
  <si>
    <t>빙결 창</t>
  </si>
  <si>
    <t>🧊</t>
  </si>
  <si>
    <t>현재 공격력의 180% 피해. 상대를 1턴간 냉기 상태로 만든다. 쿨타임 3턴.</t>
  </si>
  <si>
    <t>mage_fireball_v24</t>
  </si>
  <si>
    <t>대화염구</t>
  </si>
  <si>
    <t>☄️</t>
  </si>
  <si>
    <t>현재 공격력의 85% 피해로 2번 타격한다. 쿨타임 3턴.</t>
  </si>
  <si>
    <t>mage_frost_armor_v24</t>
  </si>
  <si>
    <t>서리 갑옷</t>
  </si>
  <si>
    <t>🛡️</t>
  </si>
  <si>
    <t>shield</t>
  </si>
  <si>
    <t>최대 체력의 130% 보호막. 쿨타임 5턴.</t>
  </si>
  <si>
    <t>mage_fire_ember_v24</t>
  </si>
  <si>
    <t>불씨 증폭</t>
  </si>
  <si>
    <t>💥</t>
  </si>
  <si>
    <t>0.2/0.4/0.6</t>
  </si>
  <si>
    <t>화염 치명타 감각을 높인다. 지능 +1, 스킬 치명타 데미지 20,40,60% 증가</t>
  </si>
  <si>
    <t>mage_frost_mind_v24</t>
  </si>
  <si>
    <t>혹한의 정신</t>
  </si>
  <si>
    <t>💎</t>
  </si>
  <si>
    <t>차가운 지능을 얻는다. 지능 +3.</t>
  </si>
  <si>
    <t>mage_fire_burst_v24</t>
  </si>
  <si>
    <t>폭열</t>
  </si>
  <si>
    <t>현재 공격력의 70% 피해로 3번 타격한다. 쿨타임 4턴.</t>
  </si>
  <si>
    <t>mage_frost_storm_v24</t>
  </si>
  <si>
    <t>빙하 폭풍</t>
  </si>
  <si>
    <t>🌨️</t>
  </si>
  <si>
    <t>ultimate</t>
  </si>
  <si>
    <t>현재 공격력의 270% 피해. 상대를 2턴간 얼려 공격 피해를 50% 감소시킨다. 쿨타임 5턴.</t>
  </si>
  <si>
    <t>mage_fire_meteor_v24</t>
  </si>
  <si>
    <t>메테오</t>
  </si>
  <si>
    <t>🌋</t>
  </si>
  <si>
    <t>현재 공격력의 80% 피해로 4번 타격한다. 쿨타임 5턴.</t>
  </si>
  <si>
    <t>priest_basic_faith</t>
  </si>
  <si>
    <t>기초 신앙</t>
  </si>
  <si>
    <t>📖</t>
  </si>
  <si>
    <t>기초적인 신앙심을 기른다. 정신 +1.</t>
  </si>
  <si>
    <t>priest_basic_life</t>
  </si>
  <si>
    <t>신앙의 광채</t>
  </si>
  <si>
    <t>✚</t>
  </si>
  <si>
    <t>holy</t>
  </si>
  <si>
    <t>상대의 공격이 빗나갈 확률이 증가한다. 5,10,15,20,25% 빗나감 (기본 10% 빗나감과 합산되어 실제 몬스터 공격 빗나감은 15/20/25/30/35%.)</t>
  </si>
  <si>
    <t>priest_basic_smite</t>
  </si>
  <si>
    <t>신앙의 일격</t>
  </si>
  <si>
    <t>🌟</t>
  </si>
  <si>
    <t>현재 공격력의 130% 피해, 최대 체력의 15% 회복. 쿨타임 3턴.</t>
  </si>
  <si>
    <t>priest_basic_prayer</t>
  </si>
  <si>
    <t>기도의 방벽</t>
  </si>
  <si>
    <t>상대에게 공격받으면 5,10,15%만큼 피해를 돌려주고 그만큼 회복한다.</t>
  </si>
  <si>
    <t>priest_holy_focus_v24</t>
  </si>
  <si>
    <t>신성</t>
  </si>
  <si>
    <t>신성 집중</t>
  </si>
  <si>
    <t>☀️</t>
  </si>
  <si>
    <t>신성의 힘에 집중한다. 정신 +2.</t>
  </si>
  <si>
    <t>priest_shadow_focus_v24</t>
  </si>
  <si>
    <t>암흑</t>
  </si>
  <si>
    <t>암흑 집중</t>
  </si>
  <si>
    <t>☾</t>
  </si>
  <si>
    <t>shadow</t>
  </si>
  <si>
    <t>암흑의 힘에 집중한다. 정신 +2.</t>
  </si>
  <si>
    <t>priest_holy_absorb_v24</t>
  </si>
  <si>
    <t>빛의 섬광</t>
  </si>
  <si>
    <t>healAllies</t>
  </si>
  <si>
    <t>모든 생존 아군의 체력을 각 대상 최대 체력의 50%만큼 회복한다. 쿨타임 4턴.</t>
  </si>
  <si>
    <t>priest_shadow_seed_v24</t>
  </si>
  <si>
    <t>암흑의 씨앗</t>
  </si>
  <si>
    <t>🟣</t>
  </si>
  <si>
    <t>shadowDot</t>
  </si>
  <si>
    <t>120%의 피해와 암흑 2중첩을 쌓는다. 쿨타임 3턴.</t>
  </si>
  <si>
    <t>priest_holy_barrier_v24</t>
  </si>
  <si>
    <t>신성 보호막</t>
  </si>
  <si>
    <t>최대 체력의 70% 보호막. 쿨타임 4턴.</t>
  </si>
  <si>
    <t>priest_shadow_mark_v24</t>
  </si>
  <si>
    <t>암흑 낙인</t>
  </si>
  <si>
    <t>🌑</t>
  </si>
  <si>
    <t>암흑 5중첩을 적에게 추가한다. 쿨타임 4턴.</t>
  </si>
  <si>
    <t>priest_holy_grace_v24</t>
  </si>
  <si>
    <t>치유 숙련</t>
  </si>
  <si>
    <t>💫</t>
  </si>
  <si>
    <t>체력을 회복하는 모든 기술들의 효율이 50, 100, 150% 증가한다.</t>
  </si>
  <si>
    <t>priest_shadow_void_v24</t>
  </si>
  <si>
    <t>공허 숙련</t>
  </si>
  <si>
    <t>🌌</t>
  </si>
  <si>
    <t>priest_holy_judgment_v24</t>
  </si>
  <si>
    <t>은총의 심판</t>
  </si>
  <si>
    <t>✦</t>
  </si>
  <si>
    <t>damageHeal</t>
  </si>
  <si>
    <t>현재 공격력의 230% 피해를 주고 크게 회복한다. 쿨타임 5턴.</t>
  </si>
  <si>
    <t>priest_shadow_judgment_v24</t>
  </si>
  <si>
    <t>암흑 심판</t>
  </si>
  <si>
    <t>현재 공격력의 260% 피해와 암흑 4중첩. 쿨타임 5턴.</t>
  </si>
  <si>
    <t>warrior_basic_body</t>
  </si>
  <si>
    <t>기초 체력 단련</t>
  </si>
  <si>
    <t>💪</t>
  </si>
  <si>
    <t>전사의 기본기는 체력이다. 체력 +2.</t>
  </si>
  <si>
    <t>warrior_basic_blade</t>
  </si>
  <si>
    <t>기초 검술</t>
  </si>
  <si>
    <t>🗡️</t>
  </si>
  <si>
    <t>검을 다루는 기본 자세이다. 힘 +1.</t>
  </si>
  <si>
    <t>warrior_basic_guard</t>
  </si>
  <si>
    <t>막기 훈련</t>
  </si>
  <si>
    <t>매 턴 상대의 공격을 막는다. 매 턴 보호막 3,6,9% 생성</t>
  </si>
  <si>
    <t>warrior_basic_strike</t>
  </si>
  <si>
    <t>전사의 일격</t>
  </si>
  <si>
    <t>⚔️</t>
  </si>
  <si>
    <t>현재 공격력의 150% 피해를 준다. 쿨타임 3턴.</t>
  </si>
  <si>
    <t>warrior_def_stance</t>
  </si>
  <si>
    <t>방어</t>
  </si>
  <si>
    <t>방어 태세</t>
  </si>
  <si>
    <t>방어의 태세, 최대 체력의 25% 보호막을 얻는다.</t>
  </si>
  <si>
    <t>warrior_weapon_mastery</t>
  </si>
  <si>
    <t>무기 숙련</t>
  </si>
  <si>
    <t>무기의 달인이 된다. 힘 +2.</t>
  </si>
  <si>
    <t>warrior_def_armor</t>
  </si>
  <si>
    <t>공세 갑옷</t>
  </si>
  <si>
    <t>🥋</t>
  </si>
  <si>
    <t>체력+3, 최대 체력의 2,4,6,8,10%만큼 기본 공격에 추가 데미지</t>
  </si>
  <si>
    <t>warrior_weapon_slash</t>
  </si>
  <si>
    <t>파쇄 일격</t>
  </si>
  <si>
    <t>warrior_def_resist</t>
  </si>
  <si>
    <t>불굴의 의지</t>
  </si>
  <si>
    <t>🔰</t>
  </si>
  <si>
    <t>상태 이상에 잘 걸리지 않는 전사의 의지. 20,40,60% 확률로 상태이상에서 깨어난다.</t>
  </si>
  <si>
    <t>warrior_weapon_rage</t>
  </si>
  <si>
    <t>전투의 대가</t>
  </si>
  <si>
    <t>전투의 대가로 성장한다. 힘 +2, 체력 +1.</t>
  </si>
  <si>
    <t>warrior_def_wall</t>
  </si>
  <si>
    <t>방패 돌진</t>
  </si>
  <si>
    <t>shieldBash</t>
  </si>
  <si>
    <t>최대 체력의 25% 보호막을 얻고 내 현재 보호막만큼의 피해를 준다. 쿨타임 4턴</t>
  </si>
  <si>
    <t>warrior_weapon_breaker</t>
  </si>
  <si>
    <t>더블 어택</t>
  </si>
  <si>
    <t>모든 일반 공격을 빠르게 두번씩 한다. 두번째는 감소된 데미지 (30/60/90%)</t>
  </si>
  <si>
    <t>warrior_def_bastion</t>
  </si>
  <si>
    <t>수호자의 맹세</t>
  </si>
  <si>
    <t>쓰러질 때, 다시 한번 회복해 일어나 싸운다. 쿨타임 10턴, 한 전투에서 두번 사용 불가</t>
  </si>
  <si>
    <t>warrior_weapon_judgment</t>
  </si>
  <si>
    <t>최후의 심판</t>
  </si>
  <si>
    <t>charge</t>
  </si>
  <si>
    <t>한 턴간 모은 후, 현재 공격력의 450% 피해. 쿨타임 5턴.</t>
  </si>
  <si>
    <t>모든 기본 공격과 스킬의 기본 치명타 확률은 15%, 치명타 피해는 150%입니다. 화염 집중은 랭크별로 25/35/45%, 불씨 증폭은 스킬 치명타 피해를 170/190/210%로 올립니다.</t>
  </si>
  <si>
    <t>현재 공격력의 180% 피해. 상대를 1턴간 기절시킨다. 쿨타임 4턴.</t>
  </si>
  <si>
    <t>기본 주스탯</t>
  </si>
  <si>
    <t>장비 주스탯</t>
  </si>
  <si>
    <t>전문화·패시브 주스탯</t>
  </si>
  <si>
    <t>최종 주스탯</t>
  </si>
  <si>
    <t>공격력 최소</t>
  </si>
  <si>
    <t>공격력 평균</t>
  </si>
  <si>
    <t>공격력 최대</t>
  </si>
  <si>
    <t>기본공격 배율</t>
  </si>
  <si>
    <t>기본공격 피해</t>
  </si>
  <si>
    <t>기본 치명타 배율</t>
  </si>
  <si>
    <t>기본 치명타 피해</t>
  </si>
  <si>
    <t>비교 스킬 이름</t>
  </si>
  <si>
    <t>비교 스킬 총 배율</t>
  </si>
  <si>
    <t>스킬 피해</t>
  </si>
  <si>
    <t>치명타 확률</t>
  </si>
  <si>
    <t>스킬 치명타 배율</t>
  </si>
  <si>
    <t>체력 스탯</t>
  </si>
  <si>
    <t>레벨</t>
  </si>
  <si>
    <t>최대 HP</t>
  </si>
  <si>
    <t>회복량</t>
  </si>
  <si>
    <t>보호막량</t>
  </si>
  <si>
    <t>전 공격 빗나감</t>
  </si>
  <si>
    <t>몬스터 기본 빗나감</t>
  </si>
  <si>
    <t>신앙의 광채 추가</t>
  </si>
  <si>
    <t>몬스터 최종 빗나감</t>
  </si>
  <si>
    <t>대화염구(2타 합계)</t>
  </si>
  <si>
    <r>
      <rPr>
        <sz val="11"/>
        <color rgb="FF2F55D4"/>
        <rFont val="맑은 고딕"/>
        <family val="3"/>
        <charset val="129"/>
      </rPr>
      <t>암흑</t>
    </r>
    <r>
      <rPr>
        <sz val="11"/>
        <color rgb="FF2F55D4"/>
        <rFont val="Arial"/>
        <family val="2"/>
      </rPr>
      <t xml:space="preserve"> </t>
    </r>
    <r>
      <rPr>
        <sz val="11"/>
        <color rgb="FF2F55D4"/>
        <rFont val="맑은 고딕"/>
        <family val="3"/>
        <charset val="129"/>
      </rPr>
      <t>중첩</t>
    </r>
    <r>
      <rPr>
        <sz val="11"/>
        <color rgb="FF2F55D4"/>
        <rFont val="Arial"/>
        <family val="2"/>
      </rPr>
      <t xml:space="preserve"> </t>
    </r>
    <r>
      <rPr>
        <sz val="11"/>
        <color rgb="FF2F55D4"/>
        <rFont val="맑은 고딕"/>
        <family val="3"/>
        <charset val="129"/>
      </rPr>
      <t>피해도</t>
    </r>
    <r>
      <rPr>
        <sz val="11"/>
        <color rgb="FF2F55D4"/>
        <rFont val="Arial"/>
        <family val="2"/>
      </rPr>
      <t xml:space="preserve"> 20,40,60% </t>
    </r>
    <r>
      <rPr>
        <sz val="11"/>
        <color rgb="FF2F55D4"/>
        <rFont val="맑은 고딕"/>
        <family val="3"/>
        <charset val="129"/>
      </rPr>
      <t>확률로</t>
    </r>
    <r>
      <rPr>
        <sz val="11"/>
        <color rgb="FF2F55D4"/>
        <rFont val="Arial"/>
        <family val="2"/>
      </rPr>
      <t xml:space="preserve"> </t>
    </r>
    <r>
      <rPr>
        <sz val="11"/>
        <color rgb="FF2F55D4"/>
        <rFont val="맑은 고딕"/>
        <family val="3"/>
        <charset val="129"/>
      </rPr>
      <t>치명타로</t>
    </r>
    <r>
      <rPr>
        <sz val="11"/>
        <color rgb="FF2F55D4"/>
        <rFont val="Arial"/>
        <family val="2"/>
      </rPr>
      <t xml:space="preserve"> </t>
    </r>
    <r>
      <rPr>
        <sz val="11"/>
        <color rgb="FF2F55D4"/>
        <rFont val="맑은 고딕"/>
        <family val="3"/>
        <charset val="129"/>
      </rPr>
      <t>작용할</t>
    </r>
    <r>
      <rPr>
        <sz val="11"/>
        <color rgb="FF2F55D4"/>
        <rFont val="Arial"/>
        <family val="2"/>
      </rPr>
      <t xml:space="preserve"> </t>
    </r>
    <r>
      <rPr>
        <sz val="11"/>
        <color rgb="FF2F55D4"/>
        <rFont val="맑은 고딕"/>
        <family val="3"/>
        <charset val="129"/>
      </rPr>
      <t>수</t>
    </r>
    <r>
      <rPr>
        <sz val="11"/>
        <color rgb="FF2F55D4"/>
        <rFont val="Arial"/>
        <family val="2"/>
      </rPr>
      <t xml:space="preserve"> </t>
    </r>
    <r>
      <rPr>
        <sz val="11"/>
        <color rgb="FF2F55D4"/>
        <rFont val="맑은 고딕"/>
        <family val="3"/>
        <charset val="129"/>
      </rPr>
      <t>있게</t>
    </r>
    <r>
      <rPr>
        <sz val="11"/>
        <color rgb="FF2F55D4"/>
        <rFont val="Arial"/>
        <family val="2"/>
      </rPr>
      <t xml:space="preserve"> </t>
    </r>
    <r>
      <rPr>
        <sz val="11"/>
        <color rgb="FF2F55D4"/>
        <rFont val="맑은 고딕"/>
        <family val="3"/>
        <charset val="129"/>
      </rPr>
      <t>된다</t>
    </r>
    <r>
      <rPr>
        <sz val="11"/>
        <color rgb="FF2F55D4"/>
        <rFont val="Arial"/>
        <family val="2"/>
      </rPr>
      <t>.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</si>
</sst>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2">
    <font>
      <sz val="11"/>
      <name val="Carlito"/>
    </font>
    <font>
      <b/>
      <sz val="16"/>
      <color rgb="FFFFFFFF"/>
      <name val="Carlito"/>
    </font>
    <font>
      <b/>
      <sz val="11"/>
      <color rgb="FF19365F"/>
      <name val="Carlito"/>
    </font>
    <font>
      <sz val="11"/>
      <color rgb="FF334155"/>
      <name val="Carlito"/>
    </font>
    <font>
      <b/>
      <sz val="11"/>
      <color rgb="FFFFFFFF"/>
      <name val="Carlito"/>
    </font>
    <font>
      <sz val="11"/>
      <color rgb="FF2F55D4"/>
      <name val="Carlito"/>
    </font>
    <font>
      <b/>
      <sz val="11"/>
      <color rgb="FF1F4E78"/>
      <name val="Carlito"/>
    </font>
    <font>
      <sz val="11"/>
      <name val="Carlito"/>
    </font>
    <font>
      <sz val="8"/>
      <name val="돋움"/>
      <family val="3"/>
      <charset val="129"/>
    </font>
    <font>
      <sz val="11"/>
      <color rgb="FF2F55D4"/>
      <name val="맑은 고딕"/>
      <family val="3"/>
      <charset val="129"/>
    </font>
    <font>
      <sz val="11"/>
      <color rgb="FF2F55D4"/>
      <name val="Arial"/>
      <family val="2"/>
    </font>
    <font>
      <sz val="11"/>
      <color rgb="FF2F55D4"/>
      <name val="Carlito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9365F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theme="5" tint="0.79995117038483843"/>
        <bgColor indexed="65"/>
      </patternFill>
    </fill>
    <fill>
      <patternFill patternType="solid">
        <fgColor rgb="FF1F3B6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4DFEC"/>
      </patternFill>
    </fill>
  </fills>
  <borders count="6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 style="thin">
        <color rgb="FFB8C4D6"/>
      </left>
      <right style="thin">
        <color rgb="FFB8C4D6"/>
      </right>
      <top style="thin">
        <color rgb="FFB8C4D6"/>
      </top>
      <bottom style="thin">
        <color rgb="FFB8C4D6"/>
      </bottom>
      <diagonal/>
    </border>
    <border>
      <left style="thin">
        <color rgb="FFD9E0E8"/>
      </left>
      <right style="thin">
        <color rgb="FFD9E0E8"/>
      </right>
      <top style="thin">
        <color rgb="FFD9E0E8"/>
      </top>
      <bottom style="thin">
        <color rgb="FFD9E0E8"/>
      </bottom>
      <diagonal/>
    </border>
  </borders>
  <cellStyleXfs count="2">
    <xf numFmtId="0" fontId="0" fillId="0" borderId="0"/>
    <xf numFmtId="0" fontId="7" fillId="0" borderId="0"/>
  </cellStyleXfs>
  <cellXfs count="54">
    <xf numFmtId="0" fontId="0" fillId="0" borderId="0" xfId="0"/>
    <xf numFmtId="0" fontId="2" fillId="3" borderId="0" xfId="1" applyFont="1" applyFill="1"/>
    <xf numFmtId="0" fontId="4" fillId="2" borderId="0" xfId="1" applyFont="1" applyFill="1" applyAlignment="1">
      <alignment horizontal="center" vertical="center" wrapText="1"/>
    </xf>
    <xf numFmtId="0" fontId="5" fillId="0" borderId="1" xfId="1" applyFont="1" applyBorder="1" applyAlignment="1">
      <alignment vertical="center" wrapText="1"/>
    </xf>
    <xf numFmtId="0" fontId="5" fillId="0" borderId="2" xfId="1" applyFont="1" applyBorder="1" applyAlignment="1">
      <alignment vertical="center" wrapText="1"/>
    </xf>
    <xf numFmtId="0" fontId="5" fillId="0" borderId="3" xfId="1" applyFont="1" applyBorder="1" applyAlignment="1">
      <alignment vertical="center" wrapText="1"/>
    </xf>
    <xf numFmtId="0" fontId="3" fillId="4" borderId="1" xfId="1" applyFont="1" applyFill="1" applyBorder="1" applyAlignment="1">
      <alignment vertical="center" wrapText="1"/>
    </xf>
    <xf numFmtId="0" fontId="3" fillId="4" borderId="2" xfId="1" applyFont="1" applyFill="1" applyBorder="1" applyAlignment="1">
      <alignment vertical="center" wrapText="1"/>
    </xf>
    <xf numFmtId="0" fontId="3" fillId="4" borderId="3" xfId="1" applyFont="1" applyFill="1" applyBorder="1" applyAlignment="1">
      <alignment vertical="center" wrapText="1"/>
    </xf>
    <xf numFmtId="0" fontId="0" fillId="5" borderId="0" xfId="0" applyFill="1"/>
    <xf numFmtId="0" fontId="4" fillId="6" borderId="4" xfId="0" applyNumberFormat="1" applyFont="1" applyFill="1" applyBorder="1" applyAlignment="1">
      <alignment horizontal="center" vertical="center" wrapText="1"/>
    </xf>
    <xf numFmtId="0" fontId="3" fillId="4" borderId="5" xfId="0" applyNumberFormat="1" applyFont="1" applyFill="1" applyBorder="1" applyAlignment="1">
      <alignment vertical="center" wrapText="1"/>
    </xf>
    <xf numFmtId="176" fontId="5" fillId="7" borderId="5" xfId="0" applyNumberFormat="1" applyFont="1" applyFill="1" applyBorder="1" applyAlignment="1">
      <alignment vertical="center" wrapText="1"/>
    </xf>
    <xf numFmtId="9" fontId="5" fillId="7" borderId="5" xfId="0" applyNumberFormat="1" applyFont="1" applyFill="1" applyBorder="1" applyAlignment="1">
      <alignment vertical="center" wrapText="1"/>
    </xf>
    <xf numFmtId="9" fontId="6" fillId="7" borderId="5" xfId="0" applyNumberFormat="1" applyFont="1" applyFill="1" applyBorder="1" applyAlignment="1">
      <alignment vertical="center" wrapText="1"/>
    </xf>
    <xf numFmtId="9" fontId="0" fillId="7" borderId="5" xfId="0" applyNumberFormat="1" applyFont="1" applyFill="1" applyBorder="1"/>
    <xf numFmtId="9" fontId="0" fillId="8" borderId="5" xfId="0" applyNumberFormat="1" applyFont="1" applyFill="1" applyBorder="1"/>
    <xf numFmtId="1" fontId="5" fillId="7" borderId="5" xfId="0" applyNumberFormat="1" applyFont="1" applyFill="1" applyBorder="1" applyAlignment="1">
      <alignment vertical="center" wrapText="1"/>
    </xf>
    <xf numFmtId="1" fontId="6" fillId="8" borderId="5" xfId="0" applyNumberFormat="1" applyFont="1" applyFill="1" applyBorder="1" applyAlignment="1">
      <alignment vertical="center" wrapText="1"/>
    </xf>
    <xf numFmtId="1" fontId="5" fillId="8" borderId="5" xfId="0" applyNumberFormat="1" applyFont="1" applyFill="1" applyBorder="1" applyAlignment="1">
      <alignment vertical="center" wrapText="1"/>
    </xf>
    <xf numFmtId="1" fontId="6" fillId="7" borderId="5" xfId="0" applyNumberFormat="1" applyFont="1" applyFill="1" applyBorder="1" applyAlignment="1">
      <alignment vertical="center" wrapText="1"/>
    </xf>
    <xf numFmtId="1" fontId="0" fillId="8" borderId="5" xfId="0" applyNumberFormat="1" applyFont="1" applyFill="1" applyBorder="1"/>
    <xf numFmtId="0" fontId="3" fillId="9" borderId="1" xfId="0" applyNumberFormat="1" applyFont="1" applyFill="1" applyBorder="1" applyAlignment="1">
      <alignment vertical="center" wrapText="1"/>
    </xf>
    <xf numFmtId="0" fontId="5" fillId="9" borderId="1" xfId="0" applyNumberFormat="1" applyFont="1" applyFill="1" applyBorder="1" applyAlignment="1">
      <alignment vertical="center" wrapText="1"/>
    </xf>
    <xf numFmtId="176" fontId="5" fillId="9" borderId="1" xfId="0" applyNumberFormat="1" applyFont="1" applyFill="1" applyBorder="1" applyAlignment="1">
      <alignment vertical="center" wrapText="1"/>
    </xf>
    <xf numFmtId="1" fontId="5" fillId="9" borderId="1" xfId="0" applyNumberFormat="1" applyFont="1" applyFill="1" applyBorder="1" applyAlignment="1">
      <alignment vertical="center" wrapText="1"/>
    </xf>
    <xf numFmtId="0" fontId="3" fillId="9" borderId="2" xfId="0" applyNumberFormat="1" applyFont="1" applyFill="1" applyBorder="1" applyAlignment="1">
      <alignment vertical="center" wrapText="1"/>
    </xf>
    <xf numFmtId="0" fontId="5" fillId="9" borderId="2" xfId="0" applyNumberFormat="1" applyFont="1" applyFill="1" applyBorder="1" applyAlignment="1">
      <alignment vertical="center" wrapText="1"/>
    </xf>
    <xf numFmtId="176" fontId="5" fillId="9" borderId="2" xfId="0" applyNumberFormat="1" applyFont="1" applyFill="1" applyBorder="1" applyAlignment="1">
      <alignment vertical="center" wrapText="1"/>
    </xf>
    <xf numFmtId="1" fontId="5" fillId="9" borderId="2" xfId="0" applyNumberFormat="1" applyFont="1" applyFill="1" applyBorder="1" applyAlignment="1">
      <alignment vertical="center" wrapText="1"/>
    </xf>
    <xf numFmtId="0" fontId="3" fillId="10" borderId="2" xfId="0" applyNumberFormat="1" applyFont="1" applyFill="1" applyBorder="1" applyAlignment="1">
      <alignment vertical="center" wrapText="1"/>
    </xf>
    <xf numFmtId="0" fontId="5" fillId="10" borderId="2" xfId="0" applyNumberFormat="1" applyFont="1" applyFill="1" applyBorder="1" applyAlignment="1">
      <alignment vertical="center" wrapText="1"/>
    </xf>
    <xf numFmtId="176" fontId="5" fillId="10" borderId="2" xfId="0" applyNumberFormat="1" applyFont="1" applyFill="1" applyBorder="1" applyAlignment="1">
      <alignment vertical="center" wrapText="1"/>
    </xf>
    <xf numFmtId="1" fontId="5" fillId="10" borderId="2" xfId="0" applyNumberFormat="1" applyFont="1" applyFill="1" applyBorder="1" applyAlignment="1">
      <alignment vertical="center" wrapText="1"/>
    </xf>
    <xf numFmtId="0" fontId="3" fillId="11" borderId="2" xfId="0" applyNumberFormat="1" applyFont="1" applyFill="1" applyBorder="1" applyAlignment="1">
      <alignment vertical="center" wrapText="1"/>
    </xf>
    <xf numFmtId="0" fontId="5" fillId="11" borderId="2" xfId="0" applyNumberFormat="1" applyFont="1" applyFill="1" applyBorder="1" applyAlignment="1">
      <alignment vertical="center" wrapText="1"/>
    </xf>
    <xf numFmtId="176" fontId="5" fillId="11" borderId="2" xfId="0" applyNumberFormat="1" applyFont="1" applyFill="1" applyBorder="1" applyAlignment="1">
      <alignment vertical="center" wrapText="1"/>
    </xf>
    <xf numFmtId="1" fontId="5" fillId="11" borderId="2" xfId="0" applyNumberFormat="1" applyFont="1" applyFill="1" applyBorder="1" applyAlignment="1">
      <alignment vertical="center" wrapText="1"/>
    </xf>
    <xf numFmtId="0" fontId="3" fillId="7" borderId="2" xfId="0" applyNumberFormat="1" applyFont="1" applyFill="1" applyBorder="1" applyAlignment="1">
      <alignment vertical="center" wrapText="1"/>
    </xf>
    <xf numFmtId="0" fontId="5" fillId="7" borderId="2" xfId="0" applyNumberFormat="1" applyFont="1" applyFill="1" applyBorder="1" applyAlignment="1">
      <alignment vertical="center" wrapText="1"/>
    </xf>
    <xf numFmtId="176" fontId="5" fillId="7" borderId="2" xfId="0" applyNumberFormat="1" applyFont="1" applyFill="1" applyBorder="1" applyAlignment="1">
      <alignment vertical="center" wrapText="1"/>
    </xf>
    <xf numFmtId="1" fontId="5" fillId="7" borderId="2" xfId="0" applyNumberFormat="1" applyFont="1" applyFill="1" applyBorder="1" applyAlignment="1">
      <alignment vertical="center" wrapText="1"/>
    </xf>
    <xf numFmtId="0" fontId="3" fillId="12" borderId="2" xfId="0" applyNumberFormat="1" applyFont="1" applyFill="1" applyBorder="1" applyAlignment="1">
      <alignment vertical="center" wrapText="1"/>
    </xf>
    <xf numFmtId="0" fontId="5" fillId="12" borderId="2" xfId="0" applyNumberFormat="1" applyFont="1" applyFill="1" applyBorder="1" applyAlignment="1">
      <alignment vertical="center" wrapText="1"/>
    </xf>
    <xf numFmtId="176" fontId="5" fillId="12" borderId="2" xfId="0" applyNumberFormat="1" applyFont="1" applyFill="1" applyBorder="1" applyAlignment="1">
      <alignment vertical="center" wrapText="1"/>
    </xf>
    <xf numFmtId="1" fontId="5" fillId="12" borderId="2" xfId="0" applyNumberFormat="1" applyFont="1" applyFill="1" applyBorder="1" applyAlignment="1">
      <alignment vertical="center" wrapText="1"/>
    </xf>
    <xf numFmtId="0" fontId="3" fillId="11" borderId="3" xfId="0" applyNumberFormat="1" applyFont="1" applyFill="1" applyBorder="1" applyAlignment="1">
      <alignment vertical="center" wrapText="1"/>
    </xf>
    <xf numFmtId="0" fontId="5" fillId="11" borderId="3" xfId="0" applyNumberFormat="1" applyFont="1" applyFill="1" applyBorder="1" applyAlignment="1">
      <alignment vertical="center" wrapText="1"/>
    </xf>
    <xf numFmtId="176" fontId="5" fillId="11" borderId="3" xfId="0" applyNumberFormat="1" applyFont="1" applyFill="1" applyBorder="1" applyAlignment="1">
      <alignment vertical="center" wrapText="1"/>
    </xf>
    <xf numFmtId="1" fontId="5" fillId="11" borderId="3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wrapText="1"/>
    </xf>
    <xf numFmtId="0" fontId="3" fillId="0" borderId="0" xfId="1" applyFont="1" applyAlignment="1">
      <alignment wrapText="1"/>
    </xf>
    <xf numFmtId="0" fontId="1" fillId="2" borderId="0" xfId="1" applyFont="1" applyFill="1" applyAlignment="1">
      <alignment vertical="center"/>
    </xf>
    <xf numFmtId="0" fontId="11" fillId="12" borderId="2" xfId="0" applyNumberFormat="1" applyFont="1" applyFill="1" applyBorder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sqref="A1:F1"/>
    </sheetView>
  </sheetViews>
  <sheetFormatPr defaultRowHeight="14"/>
  <cols>
    <col min="1" max="1" width="53.1640625" customWidth="1"/>
    <col min="2" max="2" width="62.5" customWidth="1"/>
  </cols>
  <sheetData>
    <row r="1" spans="1:6" ht="8.5" customHeight="1">
      <c r="A1" s="52" t="s">
        <v>0</v>
      </c>
      <c r="B1" s="52"/>
      <c r="C1" s="52"/>
      <c r="D1" s="52"/>
      <c r="E1" s="52"/>
      <c r="F1" s="52"/>
    </row>
    <row r="3" spans="1:6" ht="6.65" customHeight="1">
      <c r="A3" s="1" t="s">
        <v>1</v>
      </c>
      <c r="B3" s="51" t="s">
        <v>2</v>
      </c>
      <c r="C3" s="51"/>
      <c r="D3" s="51"/>
      <c r="E3" s="51"/>
      <c r="F3" s="51"/>
    </row>
    <row r="4" spans="1:6" ht="6.65" customHeight="1">
      <c r="A4" s="1" t="s">
        <v>3</v>
      </c>
      <c r="B4" s="51" t="s">
        <v>4</v>
      </c>
      <c r="C4" s="51"/>
      <c r="D4" s="51"/>
      <c r="E4" s="51"/>
      <c r="F4" s="51"/>
    </row>
    <row r="5" spans="1:6" ht="6.65" customHeight="1">
      <c r="A5" s="1" t="s">
        <v>5</v>
      </c>
      <c r="B5" s="51" t="s">
        <v>6</v>
      </c>
      <c r="C5" s="51"/>
      <c r="D5" s="51"/>
      <c r="E5" s="51"/>
      <c r="F5" s="51"/>
    </row>
    <row r="6" spans="1:6" ht="11.75" customHeight="1">
      <c r="A6" s="1" t="s">
        <v>7</v>
      </c>
      <c r="B6" s="51" t="s">
        <v>8</v>
      </c>
      <c r="C6" s="51"/>
      <c r="D6" s="51"/>
      <c r="E6" s="51"/>
      <c r="F6" s="51"/>
    </row>
    <row r="7" spans="1:6" ht="17.649999999999999" customHeight="1">
      <c r="A7" s="1" t="s">
        <v>9</v>
      </c>
      <c r="B7" s="50" t="s">
        <v>366</v>
      </c>
      <c r="C7" s="51"/>
      <c r="D7" s="51"/>
      <c r="E7" s="51"/>
      <c r="F7" s="51"/>
    </row>
    <row r="8" spans="1:6" ht="11.75" customHeight="1">
      <c r="A8" s="1" t="s">
        <v>10</v>
      </c>
      <c r="B8" s="51" t="s">
        <v>11</v>
      </c>
      <c r="C8" s="51"/>
      <c r="D8" s="51"/>
      <c r="E8" s="51"/>
      <c r="F8" s="51"/>
    </row>
    <row r="9" spans="1:6" ht="11.75" customHeight="1">
      <c r="A9" s="1" t="s">
        <v>12</v>
      </c>
      <c r="B9" s="51" t="s">
        <v>13</v>
      </c>
      <c r="C9" s="51"/>
      <c r="D9" s="51"/>
      <c r="E9" s="51"/>
      <c r="F9" s="51"/>
    </row>
    <row r="10" spans="1:6" ht="11.75" customHeight="1">
      <c r="A10" s="1" t="s">
        <v>14</v>
      </c>
      <c r="B10" s="51" t="s">
        <v>15</v>
      </c>
      <c r="C10" s="51"/>
      <c r="D10" s="51"/>
      <c r="E10" s="51"/>
      <c r="F10" s="51"/>
    </row>
  </sheetData>
  <mergeCells count="9">
    <mergeCell ref="B7:F7"/>
    <mergeCell ref="B8:F8"/>
    <mergeCell ref="B9:F9"/>
    <mergeCell ref="B10:F10"/>
    <mergeCell ref="A1:F1"/>
    <mergeCell ref="B3:F3"/>
    <mergeCell ref="B4:F4"/>
    <mergeCell ref="B5:F5"/>
    <mergeCell ref="B6:F6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"/>
  <sheetViews>
    <sheetView showGridLines="0" workbookViewId="0"/>
  </sheetViews>
  <sheetFormatPr defaultRowHeight="14"/>
  <cols>
    <col min="1" max="1" width="14.4140625" customWidth="1"/>
    <col min="2" max="2" width="4.25" customWidth="1"/>
    <col min="3" max="3" width="6" customWidth="1"/>
    <col min="4" max="4" width="13.75" customWidth="1"/>
    <col min="5" max="6" width="9" customWidth="1"/>
    <col min="7" max="7" width="7.9140625" customWidth="1"/>
    <col min="8" max="8" width="2.4140625" customWidth="1"/>
    <col min="9" max="11" width="4.25" customWidth="1"/>
    <col min="12" max="12" width="6.5" customWidth="1"/>
    <col min="13" max="15" width="8.25" customWidth="1"/>
    <col min="16" max="16" width="14.5" customWidth="1"/>
    <col min="17" max="17" width="52" customWidth="1"/>
  </cols>
  <sheetData>
    <row r="1" spans="1:17" ht="15" customHeight="1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</row>
    <row r="2" spans="1:17" ht="15" customHeight="1">
      <c r="A2" s="6" t="s">
        <v>33</v>
      </c>
      <c r="B2" s="3" t="s">
        <v>34</v>
      </c>
      <c r="C2" s="3" t="s">
        <v>35</v>
      </c>
      <c r="D2" s="3" t="s">
        <v>36</v>
      </c>
      <c r="E2" s="3">
        <v>30</v>
      </c>
      <c r="F2" s="3"/>
      <c r="G2" s="3"/>
      <c r="H2" s="3">
        <v>2</v>
      </c>
      <c r="I2" s="3"/>
      <c r="J2" s="3"/>
      <c r="K2" s="3">
        <v>1</v>
      </c>
      <c r="L2" s="3"/>
      <c r="M2" s="3"/>
      <c r="N2" s="3"/>
      <c r="O2" s="3"/>
      <c r="P2" s="3" t="s">
        <v>37</v>
      </c>
      <c r="Q2" s="3" t="s">
        <v>38</v>
      </c>
    </row>
    <row r="3" spans="1:17" ht="15" customHeight="1">
      <c r="A3" s="7" t="s">
        <v>39</v>
      </c>
      <c r="B3" s="4" t="s">
        <v>34</v>
      </c>
      <c r="C3" s="4" t="s">
        <v>35</v>
      </c>
      <c r="D3" s="4" t="s">
        <v>40</v>
      </c>
      <c r="E3" s="4">
        <v>70</v>
      </c>
      <c r="F3" s="4"/>
      <c r="G3" s="4">
        <v>3</v>
      </c>
      <c r="H3" s="4">
        <v>4</v>
      </c>
      <c r="I3" s="4"/>
      <c r="J3" s="4"/>
      <c r="K3" s="4">
        <v>1</v>
      </c>
      <c r="L3" s="4"/>
      <c r="M3" s="4"/>
      <c r="N3" s="4"/>
      <c r="O3" s="4"/>
      <c r="P3" s="4" t="s">
        <v>41</v>
      </c>
      <c r="Q3" s="4" t="s">
        <v>42</v>
      </c>
    </row>
    <row r="4" spans="1:17" ht="15" customHeight="1">
      <c r="A4" s="7" t="s">
        <v>43</v>
      </c>
      <c r="B4" s="4" t="s">
        <v>34</v>
      </c>
      <c r="C4" s="4" t="s">
        <v>35</v>
      </c>
      <c r="D4" s="4" t="s">
        <v>44</v>
      </c>
      <c r="E4" s="4">
        <v>160</v>
      </c>
      <c r="F4" s="4"/>
      <c r="G4" s="4">
        <v>6</v>
      </c>
      <c r="H4" s="4">
        <v>6</v>
      </c>
      <c r="I4" s="4"/>
      <c r="J4" s="4"/>
      <c r="K4" s="4">
        <v>2</v>
      </c>
      <c r="L4" s="4"/>
      <c r="M4" s="4"/>
      <c r="N4" s="4"/>
      <c r="O4" s="4"/>
      <c r="P4" s="4" t="s">
        <v>43</v>
      </c>
      <c r="Q4" s="4" t="s">
        <v>45</v>
      </c>
    </row>
    <row r="5" spans="1:17" ht="15" customHeight="1">
      <c r="A5" s="7" t="s">
        <v>41</v>
      </c>
      <c r="B5" s="4" t="s">
        <v>34</v>
      </c>
      <c r="C5" s="4" t="s">
        <v>35</v>
      </c>
      <c r="D5" s="4" t="s">
        <v>46</v>
      </c>
      <c r="E5" s="4">
        <v>320</v>
      </c>
      <c r="F5" s="4"/>
      <c r="G5" s="4">
        <v>9</v>
      </c>
      <c r="H5" s="4">
        <v>9</v>
      </c>
      <c r="I5" s="4"/>
      <c r="J5" s="4"/>
      <c r="K5" s="4">
        <v>3</v>
      </c>
      <c r="L5" s="4"/>
      <c r="M5" s="4"/>
      <c r="N5" s="4"/>
      <c r="O5" s="4"/>
      <c r="P5" s="4" t="s">
        <v>41</v>
      </c>
      <c r="Q5" s="4" t="s">
        <v>47</v>
      </c>
    </row>
    <row r="6" spans="1:17" ht="15" customHeight="1">
      <c r="A6" s="7" t="s">
        <v>48</v>
      </c>
      <c r="B6" s="4" t="s">
        <v>34</v>
      </c>
      <c r="C6" s="4" t="s">
        <v>49</v>
      </c>
      <c r="D6" s="4" t="s">
        <v>50</v>
      </c>
      <c r="E6" s="4">
        <v>30</v>
      </c>
      <c r="F6" s="4"/>
      <c r="G6" s="4"/>
      <c r="H6" s="4"/>
      <c r="I6" s="4">
        <v>3</v>
      </c>
      <c r="J6" s="4"/>
      <c r="K6" s="4"/>
      <c r="L6" s="4"/>
      <c r="M6" s="4"/>
      <c r="N6" s="4"/>
      <c r="O6" s="4"/>
      <c r="P6" s="4"/>
      <c r="Q6" s="4" t="s">
        <v>51</v>
      </c>
    </row>
    <row r="7" spans="1:17" ht="15" customHeight="1">
      <c r="A7" s="7" t="s">
        <v>52</v>
      </c>
      <c r="B7" s="4" t="s">
        <v>34</v>
      </c>
      <c r="C7" s="4" t="s">
        <v>53</v>
      </c>
      <c r="D7" s="4" t="s">
        <v>54</v>
      </c>
      <c r="E7" s="4">
        <v>30</v>
      </c>
      <c r="F7" s="4"/>
      <c r="G7" s="4"/>
      <c r="H7" s="4"/>
      <c r="I7" s="4"/>
      <c r="J7" s="4">
        <v>3</v>
      </c>
      <c r="K7" s="4"/>
      <c r="L7" s="4"/>
      <c r="M7" s="4"/>
      <c r="N7" s="4"/>
      <c r="O7" s="4"/>
      <c r="P7" s="4"/>
      <c r="Q7" s="4" t="s">
        <v>55</v>
      </c>
    </row>
    <row r="8" spans="1:17" ht="15" customHeight="1">
      <c r="A8" s="7" t="s">
        <v>56</v>
      </c>
      <c r="B8" s="4" t="s">
        <v>34</v>
      </c>
      <c r="C8" s="4" t="s">
        <v>49</v>
      </c>
      <c r="D8" s="4" t="s">
        <v>57</v>
      </c>
      <c r="E8" s="4">
        <v>70</v>
      </c>
      <c r="F8" s="4"/>
      <c r="G8" s="4">
        <v>3</v>
      </c>
      <c r="H8" s="4"/>
      <c r="I8" s="4">
        <v>5</v>
      </c>
      <c r="J8" s="4"/>
      <c r="K8" s="4"/>
      <c r="L8" s="4"/>
      <c r="M8" s="4"/>
      <c r="N8" s="4"/>
      <c r="O8" s="4"/>
      <c r="P8" s="4" t="s">
        <v>56</v>
      </c>
      <c r="Q8" s="4" t="s">
        <v>58</v>
      </c>
    </row>
    <row r="9" spans="1:17" ht="15" customHeight="1">
      <c r="A9" s="7" t="s">
        <v>59</v>
      </c>
      <c r="B9" s="4" t="s">
        <v>34</v>
      </c>
      <c r="C9" s="4" t="s">
        <v>49</v>
      </c>
      <c r="D9" s="4" t="s">
        <v>60</v>
      </c>
      <c r="E9" s="4">
        <v>160</v>
      </c>
      <c r="F9" s="4"/>
      <c r="G9" s="4">
        <v>6</v>
      </c>
      <c r="H9" s="4"/>
      <c r="I9" s="4">
        <v>7</v>
      </c>
      <c r="J9" s="4"/>
      <c r="K9" s="4"/>
      <c r="L9" s="4"/>
      <c r="M9" s="4"/>
      <c r="N9" s="4"/>
      <c r="O9" s="4"/>
      <c r="P9" s="4" t="s">
        <v>59</v>
      </c>
      <c r="Q9" s="4" t="s">
        <v>61</v>
      </c>
    </row>
    <row r="10" spans="1:17" ht="15" customHeight="1">
      <c r="A10" s="7" t="s">
        <v>62</v>
      </c>
      <c r="B10" s="4" t="s">
        <v>34</v>
      </c>
      <c r="C10" s="4" t="s">
        <v>49</v>
      </c>
      <c r="D10" s="4" t="s">
        <v>63</v>
      </c>
      <c r="E10" s="4">
        <v>320</v>
      </c>
      <c r="F10" s="4"/>
      <c r="G10" s="4">
        <v>9</v>
      </c>
      <c r="H10" s="4"/>
      <c r="I10" s="4">
        <v>10</v>
      </c>
      <c r="J10" s="4"/>
      <c r="K10" s="4"/>
      <c r="L10" s="4"/>
      <c r="M10" s="4"/>
      <c r="N10" s="4"/>
      <c r="O10" s="4"/>
      <c r="P10" s="4" t="s">
        <v>62</v>
      </c>
      <c r="Q10" s="4" t="s">
        <v>64</v>
      </c>
    </row>
    <row r="11" spans="1:17" ht="15" customHeight="1">
      <c r="A11" s="7" t="s">
        <v>65</v>
      </c>
      <c r="B11" s="4" t="s">
        <v>34</v>
      </c>
      <c r="C11" s="4" t="s">
        <v>53</v>
      </c>
      <c r="D11" s="4" t="s">
        <v>66</v>
      </c>
      <c r="E11" s="4">
        <v>70</v>
      </c>
      <c r="F11" s="4"/>
      <c r="G11" s="4">
        <v>3</v>
      </c>
      <c r="H11" s="4"/>
      <c r="I11" s="4"/>
      <c r="J11" s="4">
        <v>5</v>
      </c>
      <c r="K11" s="4"/>
      <c r="L11" s="4"/>
      <c r="M11" s="4"/>
      <c r="N11" s="4"/>
      <c r="O11" s="4"/>
      <c r="P11" s="4" t="s">
        <v>65</v>
      </c>
      <c r="Q11" s="4" t="s">
        <v>67</v>
      </c>
    </row>
    <row r="12" spans="1:17" ht="15" customHeight="1">
      <c r="A12" s="7" t="s">
        <v>68</v>
      </c>
      <c r="B12" s="4" t="s">
        <v>34</v>
      </c>
      <c r="C12" s="4" t="s">
        <v>53</v>
      </c>
      <c r="D12" s="4" t="s">
        <v>69</v>
      </c>
      <c r="E12" s="4">
        <v>160</v>
      </c>
      <c r="F12" s="4"/>
      <c r="G12" s="4">
        <v>6</v>
      </c>
      <c r="H12" s="4"/>
      <c r="I12" s="4"/>
      <c r="J12" s="4">
        <v>7</v>
      </c>
      <c r="K12" s="4"/>
      <c r="L12" s="4"/>
      <c r="M12" s="4"/>
      <c r="N12" s="4"/>
      <c r="O12" s="4"/>
      <c r="P12" s="4" t="s">
        <v>68</v>
      </c>
      <c r="Q12" s="4" t="s">
        <v>70</v>
      </c>
    </row>
    <row r="13" spans="1:17" ht="15" customHeight="1">
      <c r="A13" s="8" t="s">
        <v>71</v>
      </c>
      <c r="B13" s="5" t="s">
        <v>34</v>
      </c>
      <c r="C13" s="5" t="s">
        <v>53</v>
      </c>
      <c r="D13" s="5" t="s">
        <v>72</v>
      </c>
      <c r="E13" s="5">
        <v>320</v>
      </c>
      <c r="F13" s="5"/>
      <c r="G13" s="5">
        <v>9</v>
      </c>
      <c r="H13" s="5"/>
      <c r="I13" s="5"/>
      <c r="J13" s="5">
        <v>10</v>
      </c>
      <c r="K13" s="5"/>
      <c r="L13" s="5"/>
      <c r="M13" s="5"/>
      <c r="N13" s="5"/>
      <c r="O13" s="5"/>
      <c r="P13" s="5" t="s">
        <v>71</v>
      </c>
      <c r="Q13" s="5" t="s">
        <v>73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4"/>
  <sheetViews>
    <sheetView showGridLines="0" workbookViewId="0"/>
  </sheetViews>
  <sheetFormatPr defaultRowHeight="14"/>
  <cols>
    <col min="1" max="1" width="12.5" customWidth="1"/>
    <col min="2" max="2" width="4.25" customWidth="1"/>
    <col min="3" max="3" width="6" customWidth="1"/>
    <col min="4" max="4" width="17.9140625" customWidth="1"/>
    <col min="5" max="6" width="9" customWidth="1"/>
    <col min="7" max="7" width="7.9140625" customWidth="1"/>
    <col min="8" max="8" width="2.4140625" customWidth="1"/>
    <col min="9" max="11" width="4.25" customWidth="1"/>
    <col min="12" max="12" width="6.5" customWidth="1"/>
    <col min="13" max="15" width="8.25" customWidth="1"/>
    <col min="16" max="16" width="8.9140625" customWidth="1"/>
    <col min="17" max="17" width="45.75" customWidth="1"/>
  </cols>
  <sheetData>
    <row r="1" spans="1:17" ht="15" customHeight="1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</row>
    <row r="2" spans="1:17" ht="15" customHeight="1">
      <c r="A2" s="6" t="s">
        <v>74</v>
      </c>
      <c r="B2" s="3" t="s">
        <v>75</v>
      </c>
      <c r="C2" s="3" t="s">
        <v>76</v>
      </c>
      <c r="D2" s="3" t="s">
        <v>77</v>
      </c>
      <c r="E2" s="3"/>
      <c r="F2" s="3"/>
      <c r="G2" s="3"/>
      <c r="H2" s="3"/>
      <c r="I2" s="3"/>
      <c r="J2" s="3"/>
      <c r="K2" s="3">
        <v>1</v>
      </c>
      <c r="L2" s="3"/>
      <c r="M2" s="3"/>
      <c r="N2" s="3"/>
      <c r="O2" s="3"/>
      <c r="P2" s="3" t="s">
        <v>78</v>
      </c>
      <c r="Q2" s="3" t="s">
        <v>79</v>
      </c>
    </row>
    <row r="3" spans="1:17" ht="15" customHeight="1">
      <c r="A3" s="7" t="s">
        <v>80</v>
      </c>
      <c r="B3" s="4" t="s">
        <v>81</v>
      </c>
      <c r="C3" s="4" t="s">
        <v>76</v>
      </c>
      <c r="D3" s="4" t="s">
        <v>82</v>
      </c>
      <c r="E3" s="4">
        <v>20</v>
      </c>
      <c r="F3" s="4"/>
      <c r="G3" s="4"/>
      <c r="H3" s="4"/>
      <c r="I3" s="4"/>
      <c r="J3" s="4"/>
      <c r="K3" s="4">
        <v>1</v>
      </c>
      <c r="L3" s="4"/>
      <c r="M3" s="4"/>
      <c r="N3" s="4"/>
      <c r="O3" s="4"/>
      <c r="P3" s="4" t="s">
        <v>83</v>
      </c>
      <c r="Q3" s="4" t="s">
        <v>84</v>
      </c>
    </row>
    <row r="4" spans="1:17" ht="15" customHeight="1">
      <c r="A4" s="7" t="s">
        <v>85</v>
      </c>
      <c r="B4" s="4" t="s">
        <v>75</v>
      </c>
      <c r="C4" s="4" t="s">
        <v>76</v>
      </c>
      <c r="D4" s="4" t="s">
        <v>86</v>
      </c>
      <c r="E4" s="4">
        <v>30</v>
      </c>
      <c r="F4" s="4"/>
      <c r="G4" s="4"/>
      <c r="H4" s="4"/>
      <c r="I4" s="4"/>
      <c r="J4" s="4"/>
      <c r="K4" s="4">
        <v>2</v>
      </c>
      <c r="L4" s="4"/>
      <c r="M4" s="4"/>
      <c r="N4" s="4"/>
      <c r="O4" s="4"/>
      <c r="P4" s="4" t="s">
        <v>87</v>
      </c>
      <c r="Q4" s="4" t="s">
        <v>88</v>
      </c>
    </row>
    <row r="5" spans="1:17" ht="15" customHeight="1">
      <c r="A5" s="7" t="s">
        <v>89</v>
      </c>
      <c r="B5" s="4" t="s">
        <v>75</v>
      </c>
      <c r="C5" s="4" t="s">
        <v>35</v>
      </c>
      <c r="D5" s="4" t="s">
        <v>90</v>
      </c>
      <c r="E5" s="4">
        <v>70</v>
      </c>
      <c r="F5" s="4"/>
      <c r="G5" s="4">
        <v>3</v>
      </c>
      <c r="H5" s="4">
        <v>1</v>
      </c>
      <c r="I5" s="4"/>
      <c r="J5" s="4"/>
      <c r="K5" s="4">
        <v>2</v>
      </c>
      <c r="L5" s="4"/>
      <c r="M5" s="4"/>
      <c r="N5" s="4"/>
      <c r="O5" s="4"/>
      <c r="P5" s="4" t="s">
        <v>91</v>
      </c>
      <c r="Q5" s="4" t="s">
        <v>92</v>
      </c>
    </row>
    <row r="6" spans="1:17" ht="15" customHeight="1">
      <c r="A6" s="7" t="s">
        <v>93</v>
      </c>
      <c r="B6" s="4" t="s">
        <v>75</v>
      </c>
      <c r="C6" s="4" t="s">
        <v>35</v>
      </c>
      <c r="D6" s="4" t="s">
        <v>94</v>
      </c>
      <c r="E6" s="4">
        <v>160</v>
      </c>
      <c r="F6" s="4"/>
      <c r="G6" s="4">
        <v>6</v>
      </c>
      <c r="H6" s="4">
        <v>1</v>
      </c>
      <c r="I6" s="4"/>
      <c r="J6" s="4"/>
      <c r="K6" s="4">
        <v>4</v>
      </c>
      <c r="L6" s="4"/>
      <c r="M6" s="4"/>
      <c r="N6" s="4"/>
      <c r="O6" s="4"/>
      <c r="P6" s="4" t="s">
        <v>91</v>
      </c>
      <c r="Q6" s="4" t="s">
        <v>95</v>
      </c>
    </row>
    <row r="7" spans="1:17" ht="15" customHeight="1">
      <c r="A7" s="7" t="s">
        <v>96</v>
      </c>
      <c r="B7" s="4" t="s">
        <v>75</v>
      </c>
      <c r="C7" s="4" t="s">
        <v>35</v>
      </c>
      <c r="D7" s="4" t="s">
        <v>97</v>
      </c>
      <c r="E7" s="4">
        <v>320</v>
      </c>
      <c r="F7" s="4"/>
      <c r="G7" s="4">
        <v>9</v>
      </c>
      <c r="H7" s="4">
        <v>2</v>
      </c>
      <c r="I7" s="4"/>
      <c r="J7" s="4"/>
      <c r="K7" s="4">
        <v>6</v>
      </c>
      <c r="L7" s="4"/>
      <c r="M7" s="4"/>
      <c r="N7" s="4"/>
      <c r="O7" s="4"/>
      <c r="P7" s="4" t="s">
        <v>91</v>
      </c>
      <c r="Q7" s="4" t="s">
        <v>98</v>
      </c>
    </row>
    <row r="8" spans="1:17" ht="15" customHeight="1">
      <c r="A8" s="7" t="s">
        <v>99</v>
      </c>
      <c r="B8" s="4" t="s">
        <v>75</v>
      </c>
      <c r="C8" s="4" t="s">
        <v>49</v>
      </c>
      <c r="D8" s="4" t="s">
        <v>100</v>
      </c>
      <c r="E8" s="4">
        <v>70</v>
      </c>
      <c r="F8" s="4"/>
      <c r="G8" s="4">
        <v>3</v>
      </c>
      <c r="H8" s="4"/>
      <c r="I8" s="4">
        <v>1</v>
      </c>
      <c r="J8" s="4"/>
      <c r="K8" s="4">
        <v>2</v>
      </c>
      <c r="L8" s="4"/>
      <c r="M8" s="4"/>
      <c r="N8" s="4"/>
      <c r="O8" s="4"/>
      <c r="P8" s="4" t="s">
        <v>78</v>
      </c>
      <c r="Q8" s="4" t="s">
        <v>101</v>
      </c>
    </row>
    <row r="9" spans="1:17" ht="15" customHeight="1">
      <c r="A9" s="7" t="s">
        <v>102</v>
      </c>
      <c r="B9" s="4" t="s">
        <v>75</v>
      </c>
      <c r="C9" s="4" t="s">
        <v>49</v>
      </c>
      <c r="D9" s="4" t="s">
        <v>103</v>
      </c>
      <c r="E9" s="4">
        <v>160</v>
      </c>
      <c r="F9" s="4"/>
      <c r="G9" s="4">
        <v>6</v>
      </c>
      <c r="H9" s="4"/>
      <c r="I9" s="4">
        <v>2</v>
      </c>
      <c r="J9" s="4"/>
      <c r="K9" s="4">
        <v>3</v>
      </c>
      <c r="L9" s="4"/>
      <c r="M9" s="4"/>
      <c r="N9" s="4"/>
      <c r="O9" s="4"/>
      <c r="P9" s="4" t="s">
        <v>78</v>
      </c>
      <c r="Q9" s="4" t="s">
        <v>104</v>
      </c>
    </row>
    <row r="10" spans="1:17" ht="15" customHeight="1">
      <c r="A10" s="7" t="s">
        <v>105</v>
      </c>
      <c r="B10" s="4" t="s">
        <v>75</v>
      </c>
      <c r="C10" s="4" t="s">
        <v>49</v>
      </c>
      <c r="D10" s="4" t="s">
        <v>106</v>
      </c>
      <c r="E10" s="4">
        <v>320</v>
      </c>
      <c r="F10" s="4"/>
      <c r="G10" s="4">
        <v>9</v>
      </c>
      <c r="H10" s="4"/>
      <c r="I10" s="4">
        <v>3</v>
      </c>
      <c r="J10" s="4"/>
      <c r="K10" s="4">
        <v>4</v>
      </c>
      <c r="L10" s="4"/>
      <c r="M10" s="4"/>
      <c r="N10" s="4"/>
      <c r="O10" s="4"/>
      <c r="P10" s="4" t="s">
        <v>78</v>
      </c>
      <c r="Q10" s="4" t="s">
        <v>107</v>
      </c>
    </row>
    <row r="11" spans="1:17" ht="15" customHeight="1">
      <c r="A11" s="7" t="s">
        <v>108</v>
      </c>
      <c r="B11" s="4" t="s">
        <v>75</v>
      </c>
      <c r="C11" s="4" t="s">
        <v>53</v>
      </c>
      <c r="D11" s="4" t="s">
        <v>109</v>
      </c>
      <c r="E11" s="4">
        <v>70</v>
      </c>
      <c r="F11" s="4"/>
      <c r="G11" s="4">
        <v>3</v>
      </c>
      <c r="H11" s="4"/>
      <c r="I11" s="4"/>
      <c r="J11" s="4">
        <v>1</v>
      </c>
      <c r="K11" s="4">
        <v>2</v>
      </c>
      <c r="L11" s="4"/>
      <c r="M11" s="4"/>
      <c r="N11" s="4"/>
      <c r="O11" s="4"/>
      <c r="P11" s="4" t="s">
        <v>110</v>
      </c>
      <c r="Q11" s="4" t="s">
        <v>111</v>
      </c>
    </row>
    <row r="12" spans="1:17" ht="15" customHeight="1">
      <c r="A12" s="7" t="s">
        <v>112</v>
      </c>
      <c r="B12" s="4" t="s">
        <v>75</v>
      </c>
      <c r="C12" s="4" t="s">
        <v>53</v>
      </c>
      <c r="D12" s="4" t="s">
        <v>113</v>
      </c>
      <c r="E12" s="4">
        <v>160</v>
      </c>
      <c r="F12" s="4"/>
      <c r="G12" s="4">
        <v>6</v>
      </c>
      <c r="H12" s="4"/>
      <c r="I12" s="4"/>
      <c r="J12" s="4">
        <v>2</v>
      </c>
      <c r="K12" s="4">
        <v>3</v>
      </c>
      <c r="L12" s="4"/>
      <c r="M12" s="4"/>
      <c r="N12" s="4"/>
      <c r="O12" s="4"/>
      <c r="P12" s="4" t="s">
        <v>110</v>
      </c>
      <c r="Q12" s="4" t="s">
        <v>114</v>
      </c>
    </row>
    <row r="13" spans="1:17" ht="15" customHeight="1">
      <c r="A13" s="7" t="s">
        <v>115</v>
      </c>
      <c r="B13" s="4" t="s">
        <v>75</v>
      </c>
      <c r="C13" s="4" t="s">
        <v>53</v>
      </c>
      <c r="D13" s="4" t="s">
        <v>116</v>
      </c>
      <c r="E13" s="4">
        <v>320</v>
      </c>
      <c r="F13" s="4"/>
      <c r="G13" s="4">
        <v>9</v>
      </c>
      <c r="H13" s="4"/>
      <c r="I13" s="4"/>
      <c r="J13" s="4">
        <v>3</v>
      </c>
      <c r="K13" s="4">
        <v>4</v>
      </c>
      <c r="L13" s="4"/>
      <c r="M13" s="4"/>
      <c r="N13" s="4"/>
      <c r="O13" s="4"/>
      <c r="P13" s="4" t="s">
        <v>110</v>
      </c>
      <c r="Q13" s="4" t="s">
        <v>117</v>
      </c>
    </row>
    <row r="14" spans="1:17" ht="15" customHeight="1">
      <c r="A14" s="7" t="s">
        <v>118</v>
      </c>
      <c r="B14" s="4" t="s">
        <v>81</v>
      </c>
      <c r="C14" s="4" t="s">
        <v>35</v>
      </c>
      <c r="D14" s="4" t="s">
        <v>119</v>
      </c>
      <c r="E14" s="4">
        <v>55</v>
      </c>
      <c r="F14" s="4"/>
      <c r="G14" s="4">
        <v>3</v>
      </c>
      <c r="H14" s="4">
        <v>1</v>
      </c>
      <c r="I14" s="4"/>
      <c r="J14" s="4"/>
      <c r="K14" s="4">
        <v>1</v>
      </c>
      <c r="L14" s="4"/>
      <c r="M14" s="4"/>
      <c r="N14" s="4"/>
      <c r="O14" s="4"/>
      <c r="P14" s="4" t="s">
        <v>120</v>
      </c>
      <c r="Q14" s="4" t="s">
        <v>121</v>
      </c>
    </row>
    <row r="15" spans="1:17" ht="15" customHeight="1">
      <c r="A15" s="7" t="s">
        <v>122</v>
      </c>
      <c r="B15" s="4" t="s">
        <v>81</v>
      </c>
      <c r="C15" s="4" t="s">
        <v>35</v>
      </c>
      <c r="D15" s="4" t="s">
        <v>123</v>
      </c>
      <c r="E15" s="4">
        <v>130</v>
      </c>
      <c r="F15" s="4"/>
      <c r="G15" s="4">
        <v>6</v>
      </c>
      <c r="H15" s="4">
        <v>2</v>
      </c>
      <c r="I15" s="4"/>
      <c r="J15" s="4"/>
      <c r="K15" s="4">
        <v>2</v>
      </c>
      <c r="L15" s="4"/>
      <c r="M15" s="4"/>
      <c r="N15" s="4"/>
      <c r="O15" s="4"/>
      <c r="P15" s="4" t="s">
        <v>120</v>
      </c>
      <c r="Q15" s="4" t="s">
        <v>124</v>
      </c>
    </row>
    <row r="16" spans="1:17" ht="15" customHeight="1">
      <c r="A16" s="7" t="s">
        <v>125</v>
      </c>
      <c r="B16" s="4" t="s">
        <v>81</v>
      </c>
      <c r="C16" s="4" t="s">
        <v>35</v>
      </c>
      <c r="D16" s="4" t="s">
        <v>126</v>
      </c>
      <c r="E16" s="4">
        <v>260</v>
      </c>
      <c r="F16" s="4"/>
      <c r="G16" s="4">
        <v>9</v>
      </c>
      <c r="H16" s="4">
        <v>3</v>
      </c>
      <c r="I16" s="4"/>
      <c r="J16" s="4"/>
      <c r="K16" s="4">
        <v>3</v>
      </c>
      <c r="L16" s="4"/>
      <c r="M16" s="4"/>
      <c r="N16" s="4"/>
      <c r="O16" s="4"/>
      <c r="P16" s="4" t="s">
        <v>120</v>
      </c>
      <c r="Q16" s="4" t="s">
        <v>127</v>
      </c>
    </row>
    <row r="17" spans="1:17" ht="15" customHeight="1">
      <c r="A17" s="7" t="s">
        <v>128</v>
      </c>
      <c r="B17" s="4" t="s">
        <v>81</v>
      </c>
      <c r="C17" s="4" t="s">
        <v>49</v>
      </c>
      <c r="D17" s="4" t="s">
        <v>129</v>
      </c>
      <c r="E17" s="4">
        <v>55</v>
      </c>
      <c r="F17" s="4"/>
      <c r="G17" s="4">
        <v>3</v>
      </c>
      <c r="H17" s="4"/>
      <c r="I17" s="4">
        <v>2</v>
      </c>
      <c r="J17" s="4"/>
      <c r="K17" s="4"/>
      <c r="L17" s="4"/>
      <c r="M17" s="4"/>
      <c r="N17" s="4"/>
      <c r="O17" s="4"/>
      <c r="P17" s="4" t="s">
        <v>130</v>
      </c>
      <c r="Q17" s="4" t="s">
        <v>131</v>
      </c>
    </row>
    <row r="18" spans="1:17" ht="15" customHeight="1">
      <c r="A18" s="7" t="s">
        <v>132</v>
      </c>
      <c r="B18" s="4" t="s">
        <v>81</v>
      </c>
      <c r="C18" s="4" t="s">
        <v>49</v>
      </c>
      <c r="D18" s="4" t="s">
        <v>133</v>
      </c>
      <c r="E18" s="4">
        <v>130</v>
      </c>
      <c r="F18" s="4"/>
      <c r="G18" s="4">
        <v>6</v>
      </c>
      <c r="H18" s="4"/>
      <c r="I18" s="4">
        <v>3</v>
      </c>
      <c r="J18" s="4"/>
      <c r="K18" s="4">
        <v>1</v>
      </c>
      <c r="L18" s="4"/>
      <c r="M18" s="4"/>
      <c r="N18" s="4"/>
      <c r="O18" s="4"/>
      <c r="P18" s="4" t="s">
        <v>130</v>
      </c>
      <c r="Q18" s="4" t="s">
        <v>134</v>
      </c>
    </row>
    <row r="19" spans="1:17" ht="15" customHeight="1">
      <c r="A19" s="7" t="s">
        <v>135</v>
      </c>
      <c r="B19" s="4" t="s">
        <v>81</v>
      </c>
      <c r="C19" s="4" t="s">
        <v>49</v>
      </c>
      <c r="D19" s="4" t="s">
        <v>136</v>
      </c>
      <c r="E19" s="4">
        <v>260</v>
      </c>
      <c r="F19" s="4"/>
      <c r="G19" s="4">
        <v>9</v>
      </c>
      <c r="H19" s="4"/>
      <c r="I19" s="4">
        <v>4</v>
      </c>
      <c r="J19" s="4"/>
      <c r="K19" s="4">
        <v>1</v>
      </c>
      <c r="L19" s="4"/>
      <c r="M19" s="4"/>
      <c r="N19" s="4"/>
      <c r="O19" s="4"/>
      <c r="P19" s="4" t="s">
        <v>130</v>
      </c>
      <c r="Q19" s="4" t="s">
        <v>137</v>
      </c>
    </row>
    <row r="20" spans="1:17" ht="15" customHeight="1">
      <c r="A20" s="7" t="s">
        <v>138</v>
      </c>
      <c r="B20" s="4" t="s">
        <v>81</v>
      </c>
      <c r="C20" s="4" t="s">
        <v>53</v>
      </c>
      <c r="D20" s="4" t="s">
        <v>139</v>
      </c>
      <c r="E20" s="4">
        <v>55</v>
      </c>
      <c r="F20" s="4"/>
      <c r="G20" s="4">
        <v>3</v>
      </c>
      <c r="H20" s="4"/>
      <c r="I20" s="4"/>
      <c r="J20" s="4">
        <v>2</v>
      </c>
      <c r="K20" s="4"/>
      <c r="L20" s="4"/>
      <c r="M20" s="4"/>
      <c r="N20" s="4"/>
      <c r="O20" s="4"/>
      <c r="P20" s="4" t="s">
        <v>140</v>
      </c>
      <c r="Q20" s="4" t="s">
        <v>141</v>
      </c>
    </row>
    <row r="21" spans="1:17" ht="15" customHeight="1">
      <c r="A21" s="7" t="s">
        <v>142</v>
      </c>
      <c r="B21" s="4" t="s">
        <v>81</v>
      </c>
      <c r="C21" s="4" t="s">
        <v>53</v>
      </c>
      <c r="D21" s="4" t="s">
        <v>143</v>
      </c>
      <c r="E21" s="4">
        <v>130</v>
      </c>
      <c r="F21" s="4"/>
      <c r="G21" s="4">
        <v>6</v>
      </c>
      <c r="H21" s="4"/>
      <c r="I21" s="4"/>
      <c r="J21" s="4">
        <v>3</v>
      </c>
      <c r="K21" s="4">
        <v>1</v>
      </c>
      <c r="L21" s="4"/>
      <c r="M21" s="4"/>
      <c r="N21" s="4"/>
      <c r="O21" s="4"/>
      <c r="P21" s="4" t="s">
        <v>140</v>
      </c>
      <c r="Q21" s="4" t="s">
        <v>144</v>
      </c>
    </row>
    <row r="22" spans="1:17" ht="15" customHeight="1">
      <c r="A22" s="7" t="s">
        <v>145</v>
      </c>
      <c r="B22" s="4" t="s">
        <v>81</v>
      </c>
      <c r="C22" s="4" t="s">
        <v>53</v>
      </c>
      <c r="D22" s="4" t="s">
        <v>146</v>
      </c>
      <c r="E22" s="4">
        <v>260</v>
      </c>
      <c r="F22" s="4"/>
      <c r="G22" s="4">
        <v>9</v>
      </c>
      <c r="H22" s="4"/>
      <c r="I22" s="4"/>
      <c r="J22" s="4">
        <v>4</v>
      </c>
      <c r="K22" s="4">
        <v>1</v>
      </c>
      <c r="L22" s="4"/>
      <c r="M22" s="4"/>
      <c r="N22" s="4"/>
      <c r="O22" s="4"/>
      <c r="P22" s="4" t="s">
        <v>140</v>
      </c>
      <c r="Q22" s="4" t="s">
        <v>147</v>
      </c>
    </row>
    <row r="23" spans="1:17" ht="15" customHeight="1">
      <c r="A23" s="7" t="s">
        <v>148</v>
      </c>
      <c r="B23" s="4" t="s">
        <v>75</v>
      </c>
      <c r="C23" s="4" t="s">
        <v>76</v>
      </c>
      <c r="D23" s="4" t="s">
        <v>149</v>
      </c>
      <c r="E23" s="4"/>
      <c r="F23" s="4"/>
      <c r="G23" s="4"/>
      <c r="H23" s="4">
        <v>2</v>
      </c>
      <c r="I23" s="4">
        <v>2</v>
      </c>
      <c r="J23" s="4">
        <v>2</v>
      </c>
      <c r="K23" s="4">
        <v>4</v>
      </c>
      <c r="L23" s="4"/>
      <c r="M23" s="4"/>
      <c r="N23" s="4"/>
      <c r="O23" s="4"/>
      <c r="P23" s="4" t="s">
        <v>148</v>
      </c>
      <c r="Q23" s="4" t="s">
        <v>150</v>
      </c>
    </row>
    <row r="24" spans="1:17" ht="15" customHeight="1">
      <c r="A24" s="8" t="s">
        <v>151</v>
      </c>
      <c r="B24" s="5" t="s">
        <v>81</v>
      </c>
      <c r="C24" s="5" t="s">
        <v>76</v>
      </c>
      <c r="D24" s="5" t="s">
        <v>152</v>
      </c>
      <c r="E24" s="5"/>
      <c r="F24" s="5"/>
      <c r="G24" s="5"/>
      <c r="H24" s="5">
        <v>2</v>
      </c>
      <c r="I24" s="5">
        <v>2</v>
      </c>
      <c r="J24" s="5">
        <v>2</v>
      </c>
      <c r="K24" s="5">
        <v>2</v>
      </c>
      <c r="L24" s="5"/>
      <c r="M24" s="5"/>
      <c r="N24" s="5"/>
      <c r="O24" s="5"/>
      <c r="P24" s="5" t="s">
        <v>153</v>
      </c>
      <c r="Q24" s="5" t="s">
        <v>154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"/>
  <sheetViews>
    <sheetView showGridLines="0" workbookViewId="0"/>
  </sheetViews>
  <sheetFormatPr defaultRowHeight="14"/>
  <cols>
    <col min="1" max="1" width="10.5" customWidth="1"/>
    <col min="2" max="2" width="7.9140625" customWidth="1"/>
    <col min="3" max="3" width="4.25" customWidth="1"/>
    <col min="4" max="4" width="13.75" customWidth="1"/>
    <col min="5" max="6" width="9" customWidth="1"/>
    <col min="7" max="7" width="7.9140625" customWidth="1"/>
    <col min="8" max="8" width="2.4140625" customWidth="1"/>
    <col min="9" max="11" width="4.25" customWidth="1"/>
    <col min="12" max="12" width="6.5" customWidth="1"/>
    <col min="13" max="15" width="8.25" customWidth="1"/>
    <col min="16" max="16" width="17" customWidth="1"/>
    <col min="17" max="17" width="54.25" customWidth="1"/>
  </cols>
  <sheetData>
    <row r="1" spans="1:17" ht="15" customHeight="1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</row>
    <row r="2" spans="1:17" ht="15" customHeight="1">
      <c r="A2" s="6" t="s">
        <v>155</v>
      </c>
      <c r="B2" s="3" t="s">
        <v>156</v>
      </c>
      <c r="C2" s="3" t="s">
        <v>76</v>
      </c>
      <c r="D2" s="3" t="s">
        <v>157</v>
      </c>
      <c r="E2" s="3"/>
      <c r="F2" s="3">
        <v>5</v>
      </c>
      <c r="G2" s="3">
        <v>3</v>
      </c>
      <c r="H2" s="3"/>
      <c r="I2" s="3"/>
      <c r="J2" s="3">
        <v>2</v>
      </c>
      <c r="K2" s="3">
        <v>4</v>
      </c>
      <c r="L2" s="3"/>
      <c r="M2" s="3"/>
      <c r="N2" s="3">
        <v>1</v>
      </c>
      <c r="O2" s="3"/>
      <c r="P2" s="3" t="s">
        <v>158</v>
      </c>
      <c r="Q2" s="3" t="s">
        <v>159</v>
      </c>
    </row>
    <row r="3" spans="1:17" ht="15" customHeight="1">
      <c r="A3" s="7" t="s">
        <v>160</v>
      </c>
      <c r="B3" s="4" t="s">
        <v>156</v>
      </c>
      <c r="C3" s="4" t="s">
        <v>76</v>
      </c>
      <c r="D3" s="4" t="s">
        <v>161</v>
      </c>
      <c r="E3" s="4"/>
      <c r="F3" s="4">
        <v>5</v>
      </c>
      <c r="G3" s="4">
        <v>3</v>
      </c>
      <c r="H3" s="4"/>
      <c r="I3" s="4"/>
      <c r="J3" s="4">
        <v>3</v>
      </c>
      <c r="K3" s="4">
        <v>2</v>
      </c>
      <c r="L3" s="4"/>
      <c r="M3" s="4"/>
      <c r="N3" s="4"/>
      <c r="O3" s="4">
        <v>1</v>
      </c>
      <c r="P3" s="4" t="s">
        <v>160</v>
      </c>
      <c r="Q3" s="4" t="s">
        <v>162</v>
      </c>
    </row>
    <row r="4" spans="1:17" ht="15" customHeight="1">
      <c r="A4" s="7" t="s">
        <v>163</v>
      </c>
      <c r="B4" s="4" t="s">
        <v>156</v>
      </c>
      <c r="C4" s="4" t="s">
        <v>76</v>
      </c>
      <c r="D4" s="4" t="s">
        <v>164</v>
      </c>
      <c r="E4" s="4"/>
      <c r="F4" s="4">
        <v>5</v>
      </c>
      <c r="G4" s="4">
        <v>3</v>
      </c>
      <c r="H4" s="4"/>
      <c r="I4" s="4">
        <v>3</v>
      </c>
      <c r="J4" s="4"/>
      <c r="K4" s="4"/>
      <c r="L4" s="4"/>
      <c r="M4" s="4">
        <v>1</v>
      </c>
      <c r="N4" s="4"/>
      <c r="O4" s="4"/>
      <c r="P4" s="4" t="s">
        <v>165</v>
      </c>
      <c r="Q4" s="4" t="s">
        <v>166</v>
      </c>
    </row>
    <row r="5" spans="1:17" ht="15" customHeight="1">
      <c r="A5" s="7" t="s">
        <v>167</v>
      </c>
      <c r="B5" s="4" t="s">
        <v>156</v>
      </c>
      <c r="C5" s="4" t="s">
        <v>76</v>
      </c>
      <c r="D5" s="4" t="s">
        <v>168</v>
      </c>
      <c r="E5" s="4"/>
      <c r="F5" s="4">
        <v>5</v>
      </c>
      <c r="G5" s="4">
        <v>3</v>
      </c>
      <c r="H5" s="4"/>
      <c r="I5" s="4"/>
      <c r="J5" s="4"/>
      <c r="K5" s="4">
        <v>3</v>
      </c>
      <c r="L5" s="4"/>
      <c r="M5" s="4"/>
      <c r="N5" s="4"/>
      <c r="O5" s="4">
        <v>1</v>
      </c>
      <c r="P5" s="4" t="s">
        <v>169</v>
      </c>
      <c r="Q5" s="4" t="s">
        <v>170</v>
      </c>
    </row>
    <row r="6" spans="1:17" ht="15" customHeight="1">
      <c r="A6" s="8" t="s">
        <v>171</v>
      </c>
      <c r="B6" s="5" t="s">
        <v>156</v>
      </c>
      <c r="C6" s="5" t="s">
        <v>76</v>
      </c>
      <c r="D6" s="5" t="s">
        <v>172</v>
      </c>
      <c r="E6" s="5"/>
      <c r="F6" s="5">
        <v>5</v>
      </c>
      <c r="G6" s="5">
        <v>3</v>
      </c>
      <c r="H6" s="5">
        <v>3</v>
      </c>
      <c r="I6" s="5"/>
      <c r="J6" s="5"/>
      <c r="K6" s="5">
        <v>1</v>
      </c>
      <c r="L6" s="5">
        <v>1</v>
      </c>
      <c r="M6" s="5"/>
      <c r="N6" s="5"/>
      <c r="O6" s="5"/>
      <c r="P6" s="5" t="s">
        <v>173</v>
      </c>
      <c r="Q6" s="5" t="s">
        <v>174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3"/>
  <sheetViews>
    <sheetView showGridLines="0" tabSelected="1" topLeftCell="A2" workbookViewId="0">
      <selection activeCell="S20" sqref="S20"/>
    </sheetView>
  </sheetViews>
  <sheetFormatPr defaultRowHeight="14"/>
  <cols>
    <col min="1" max="1" width="27.08203125" customWidth="1"/>
    <col min="2" max="2" width="12.1640625" customWidth="1"/>
    <col min="3" max="3" width="6" customWidth="1"/>
    <col min="4" max="4" width="4.25" customWidth="1"/>
    <col min="5" max="5" width="17.33203125" customWidth="1"/>
    <col min="6" max="6" width="6" customWidth="1"/>
    <col min="7" max="7" width="6.75" customWidth="1"/>
    <col min="8" max="8" width="7.9140625" customWidth="1"/>
    <col min="9" max="9" width="9.9140625" customWidth="1"/>
    <col min="10" max="10" width="7.9140625" customWidth="1"/>
    <col min="11" max="11" width="6" customWidth="1"/>
    <col min="12" max="12" width="7.9140625" customWidth="1"/>
    <col min="13" max="13" width="6" customWidth="1"/>
    <col min="14" max="14" width="7.9140625" customWidth="1"/>
    <col min="15" max="15" width="6" customWidth="1"/>
    <col min="16" max="16" width="9.9140625" customWidth="1"/>
    <col min="17" max="17" width="15.25" customWidth="1"/>
    <col min="18" max="18" width="13.5" customWidth="1"/>
    <col min="19" max="19" width="96.5" customWidth="1"/>
  </cols>
  <sheetData>
    <row r="1" spans="1:19" ht="36" customHeight="1">
      <c r="A1" s="10" t="s">
        <v>16</v>
      </c>
      <c r="B1" s="10" t="s">
        <v>18</v>
      </c>
      <c r="C1" s="10" t="s">
        <v>175</v>
      </c>
      <c r="D1" s="10" t="s">
        <v>176</v>
      </c>
      <c r="E1" s="10" t="s">
        <v>19</v>
      </c>
      <c r="F1" s="10" t="s">
        <v>177</v>
      </c>
      <c r="G1" s="10" t="s">
        <v>178</v>
      </c>
      <c r="H1" s="10" t="s">
        <v>179</v>
      </c>
      <c r="I1" s="10" t="s">
        <v>180</v>
      </c>
      <c r="J1" s="10" t="s">
        <v>181</v>
      </c>
      <c r="K1" s="10" t="s">
        <v>182</v>
      </c>
      <c r="L1" s="10" t="s">
        <v>183</v>
      </c>
      <c r="M1" s="10" t="s">
        <v>184</v>
      </c>
      <c r="N1" s="10" t="s">
        <v>185</v>
      </c>
      <c r="O1" s="10" t="s">
        <v>186</v>
      </c>
      <c r="P1" s="10" t="s">
        <v>187</v>
      </c>
      <c r="Q1" s="10" t="s">
        <v>188</v>
      </c>
      <c r="R1" s="10" t="s">
        <v>189</v>
      </c>
      <c r="S1" s="10" t="s">
        <v>32</v>
      </c>
    </row>
    <row r="2" spans="1:19" ht="15" customHeight="1">
      <c r="A2" s="22" t="s">
        <v>190</v>
      </c>
      <c r="B2" s="23" t="s">
        <v>49</v>
      </c>
      <c r="C2" s="23" t="s">
        <v>76</v>
      </c>
      <c r="D2" s="23">
        <v>1</v>
      </c>
      <c r="E2" s="23" t="s">
        <v>191</v>
      </c>
      <c r="F2" s="23" t="s">
        <v>192</v>
      </c>
      <c r="G2" s="23" t="s">
        <v>193</v>
      </c>
      <c r="H2" s="23">
        <v>5</v>
      </c>
      <c r="I2" s="23"/>
      <c r="J2" s="24"/>
      <c r="K2" s="25"/>
      <c r="L2" s="24"/>
      <c r="M2" s="25"/>
      <c r="N2" s="24"/>
      <c r="O2" s="24"/>
      <c r="P2" s="23"/>
      <c r="Q2" s="23"/>
      <c r="R2" s="23"/>
      <c r="S2" s="23" t="s">
        <v>194</v>
      </c>
    </row>
    <row r="3" spans="1:19" ht="15" customHeight="1">
      <c r="A3" s="26" t="s">
        <v>195</v>
      </c>
      <c r="B3" s="27" t="s">
        <v>49</v>
      </c>
      <c r="C3" s="27" t="s">
        <v>76</v>
      </c>
      <c r="D3" s="27">
        <v>2</v>
      </c>
      <c r="E3" s="27" t="s">
        <v>196</v>
      </c>
      <c r="F3" s="27" t="s">
        <v>197</v>
      </c>
      <c r="G3" s="27" t="s">
        <v>193</v>
      </c>
      <c r="H3" s="27">
        <v>5</v>
      </c>
      <c r="I3" s="27"/>
      <c r="J3" s="28"/>
      <c r="K3" s="29"/>
      <c r="L3" s="28"/>
      <c r="M3" s="29"/>
      <c r="N3" s="28"/>
      <c r="O3" s="28"/>
      <c r="P3" s="27" t="s">
        <v>198</v>
      </c>
      <c r="Q3" s="27"/>
      <c r="R3" s="27"/>
      <c r="S3" s="27" t="s">
        <v>199</v>
      </c>
    </row>
    <row r="4" spans="1:19" ht="15" customHeight="1">
      <c r="A4" s="26" t="s">
        <v>200</v>
      </c>
      <c r="B4" s="27" t="s">
        <v>49</v>
      </c>
      <c r="C4" s="27" t="s">
        <v>76</v>
      </c>
      <c r="D4" s="27">
        <v>3</v>
      </c>
      <c r="E4" s="27" t="s">
        <v>201</v>
      </c>
      <c r="F4" s="27" t="s">
        <v>202</v>
      </c>
      <c r="G4" s="27" t="s">
        <v>203</v>
      </c>
      <c r="H4" s="27">
        <v>1</v>
      </c>
      <c r="I4" s="27" t="s">
        <v>204</v>
      </c>
      <c r="J4" s="28">
        <v>1.5</v>
      </c>
      <c r="K4" s="29"/>
      <c r="L4" s="28"/>
      <c r="M4" s="29">
        <v>2</v>
      </c>
      <c r="N4" s="28"/>
      <c r="O4" s="28"/>
      <c r="P4" s="27"/>
      <c r="Q4" s="27"/>
      <c r="R4" s="27"/>
      <c r="S4" s="27" t="s">
        <v>205</v>
      </c>
    </row>
    <row r="5" spans="1:19" ht="15" customHeight="1">
      <c r="A5" s="26" t="s">
        <v>206</v>
      </c>
      <c r="B5" s="27" t="s">
        <v>49</v>
      </c>
      <c r="C5" s="27" t="s">
        <v>76</v>
      </c>
      <c r="D5" s="27">
        <v>4</v>
      </c>
      <c r="E5" s="27" t="s">
        <v>207</v>
      </c>
      <c r="F5" s="27" t="s">
        <v>208</v>
      </c>
      <c r="G5" s="27" t="s">
        <v>209</v>
      </c>
      <c r="H5" s="27">
        <v>1</v>
      </c>
      <c r="I5" s="27" t="s">
        <v>210</v>
      </c>
      <c r="J5" s="28"/>
      <c r="K5" s="29"/>
      <c r="L5" s="28"/>
      <c r="M5" s="29">
        <v>4</v>
      </c>
      <c r="N5" s="28"/>
      <c r="O5" s="28"/>
      <c r="P5" s="27"/>
      <c r="Q5" s="27"/>
      <c r="R5" s="27"/>
      <c r="S5" s="27" t="s">
        <v>211</v>
      </c>
    </row>
    <row r="6" spans="1:19" ht="15" customHeight="1">
      <c r="A6" s="30" t="s">
        <v>212</v>
      </c>
      <c r="B6" s="31" t="s">
        <v>49</v>
      </c>
      <c r="C6" s="31" t="s">
        <v>213</v>
      </c>
      <c r="D6" s="31">
        <v>5</v>
      </c>
      <c r="E6" s="31" t="s">
        <v>214</v>
      </c>
      <c r="F6" s="31" t="s">
        <v>215</v>
      </c>
      <c r="G6" s="31" t="s">
        <v>216</v>
      </c>
      <c r="H6" s="31">
        <v>3</v>
      </c>
      <c r="I6" s="31"/>
      <c r="J6" s="32"/>
      <c r="K6" s="33"/>
      <c r="L6" s="32"/>
      <c r="M6" s="33"/>
      <c r="N6" s="32"/>
      <c r="O6" s="32"/>
      <c r="P6" s="31"/>
      <c r="Q6" s="31"/>
      <c r="R6" s="31"/>
      <c r="S6" s="31" t="s">
        <v>217</v>
      </c>
    </row>
    <row r="7" spans="1:19" s="9" customFormat="1" ht="15" customHeight="1">
      <c r="A7" s="34" t="s">
        <v>218</v>
      </c>
      <c r="B7" s="35" t="s">
        <v>49</v>
      </c>
      <c r="C7" s="35" t="s">
        <v>219</v>
      </c>
      <c r="D7" s="35">
        <v>5</v>
      </c>
      <c r="E7" s="35" t="s">
        <v>220</v>
      </c>
      <c r="F7" s="35" t="s">
        <v>221</v>
      </c>
      <c r="G7" s="35" t="s">
        <v>222</v>
      </c>
      <c r="H7" s="35">
        <v>3</v>
      </c>
      <c r="I7" s="35"/>
      <c r="J7" s="36"/>
      <c r="K7" s="37"/>
      <c r="L7" s="36"/>
      <c r="M7" s="37"/>
      <c r="N7" s="36"/>
      <c r="O7" s="36"/>
      <c r="P7" s="35"/>
      <c r="Q7" s="35" t="s">
        <v>223</v>
      </c>
      <c r="R7" s="35"/>
      <c r="S7" s="35" t="s">
        <v>224</v>
      </c>
    </row>
    <row r="8" spans="1:19" ht="15" customHeight="1">
      <c r="A8" s="30" t="s">
        <v>225</v>
      </c>
      <c r="B8" s="31" t="s">
        <v>49</v>
      </c>
      <c r="C8" s="31" t="s">
        <v>213</v>
      </c>
      <c r="D8" s="31">
        <v>6</v>
      </c>
      <c r="E8" s="31" t="s">
        <v>226</v>
      </c>
      <c r="F8" s="31" t="s">
        <v>227</v>
      </c>
      <c r="G8" s="31" t="s">
        <v>216</v>
      </c>
      <c r="H8" s="31">
        <v>1</v>
      </c>
      <c r="I8" s="31" t="s">
        <v>204</v>
      </c>
      <c r="J8" s="32">
        <v>1.8</v>
      </c>
      <c r="K8" s="33"/>
      <c r="L8" s="32"/>
      <c r="M8" s="33">
        <v>3</v>
      </c>
      <c r="N8" s="32"/>
      <c r="O8" s="32"/>
      <c r="P8" s="31"/>
      <c r="Q8" s="31"/>
      <c r="R8" s="31"/>
      <c r="S8" s="31" t="s">
        <v>228</v>
      </c>
    </row>
    <row r="9" spans="1:19" s="9" customFormat="1" ht="15" customHeight="1">
      <c r="A9" s="34" t="s">
        <v>229</v>
      </c>
      <c r="B9" s="35" t="s">
        <v>49</v>
      </c>
      <c r="C9" s="35" t="s">
        <v>219</v>
      </c>
      <c r="D9" s="35">
        <v>6</v>
      </c>
      <c r="E9" s="35" t="s">
        <v>230</v>
      </c>
      <c r="F9" s="35" t="s">
        <v>231</v>
      </c>
      <c r="G9" s="35" t="s">
        <v>222</v>
      </c>
      <c r="H9" s="35">
        <v>1</v>
      </c>
      <c r="I9" s="35" t="s">
        <v>204</v>
      </c>
      <c r="J9" s="36"/>
      <c r="K9" s="37">
        <v>2</v>
      </c>
      <c r="L9" s="36">
        <v>0.85</v>
      </c>
      <c r="M9" s="37">
        <v>3</v>
      </c>
      <c r="N9" s="36"/>
      <c r="O9" s="36"/>
      <c r="P9" s="35"/>
      <c r="Q9" s="35"/>
      <c r="R9" s="35"/>
      <c r="S9" s="35" t="s">
        <v>232</v>
      </c>
    </row>
    <row r="10" spans="1:19" ht="15" customHeight="1">
      <c r="A10" s="30" t="s">
        <v>233</v>
      </c>
      <c r="B10" s="31" t="s">
        <v>49</v>
      </c>
      <c r="C10" s="31" t="s">
        <v>213</v>
      </c>
      <c r="D10" s="31">
        <v>7</v>
      </c>
      <c r="E10" s="31" t="s">
        <v>234</v>
      </c>
      <c r="F10" s="31" t="s">
        <v>235</v>
      </c>
      <c r="G10" s="31" t="s">
        <v>209</v>
      </c>
      <c r="H10" s="31">
        <v>1</v>
      </c>
      <c r="I10" s="31" t="s">
        <v>236</v>
      </c>
      <c r="J10" s="32"/>
      <c r="K10" s="33"/>
      <c r="L10" s="32"/>
      <c r="M10" s="33">
        <v>5</v>
      </c>
      <c r="N10" s="32">
        <v>1.3</v>
      </c>
      <c r="O10" s="32"/>
      <c r="P10" s="31"/>
      <c r="Q10" s="31"/>
      <c r="R10" s="31"/>
      <c r="S10" s="31" t="s">
        <v>237</v>
      </c>
    </row>
    <row r="11" spans="1:19" s="9" customFormat="1" ht="15" customHeight="1">
      <c r="A11" s="34" t="s">
        <v>238</v>
      </c>
      <c r="B11" s="35" t="s">
        <v>49</v>
      </c>
      <c r="C11" s="35" t="s">
        <v>219</v>
      </c>
      <c r="D11" s="35">
        <v>7</v>
      </c>
      <c r="E11" s="35" t="s">
        <v>239</v>
      </c>
      <c r="F11" s="35" t="s">
        <v>240</v>
      </c>
      <c r="G11" s="35" t="s">
        <v>222</v>
      </c>
      <c r="H11" s="35">
        <v>3</v>
      </c>
      <c r="I11" s="35"/>
      <c r="J11" s="36"/>
      <c r="K11" s="37"/>
      <c r="L11" s="36"/>
      <c r="M11" s="37"/>
      <c r="N11" s="36"/>
      <c r="O11" s="36"/>
      <c r="P11" s="35"/>
      <c r="Q11" s="35"/>
      <c r="R11" s="35" t="s">
        <v>241</v>
      </c>
      <c r="S11" s="35" t="s">
        <v>242</v>
      </c>
    </row>
    <row r="12" spans="1:19" ht="15" customHeight="1">
      <c r="A12" s="30" t="s">
        <v>243</v>
      </c>
      <c r="B12" s="31" t="s">
        <v>49</v>
      </c>
      <c r="C12" s="31" t="s">
        <v>213</v>
      </c>
      <c r="D12" s="31">
        <v>8</v>
      </c>
      <c r="E12" s="31" t="s">
        <v>244</v>
      </c>
      <c r="F12" s="31" t="s">
        <v>245</v>
      </c>
      <c r="G12" s="31" t="s">
        <v>216</v>
      </c>
      <c r="H12" s="31">
        <v>3</v>
      </c>
      <c r="I12" s="31"/>
      <c r="J12" s="32"/>
      <c r="K12" s="33"/>
      <c r="L12" s="32"/>
      <c r="M12" s="33"/>
      <c r="N12" s="32"/>
      <c r="O12" s="32"/>
      <c r="P12" s="31"/>
      <c r="Q12" s="31"/>
      <c r="R12" s="31"/>
      <c r="S12" s="31" t="s">
        <v>246</v>
      </c>
    </row>
    <row r="13" spans="1:19" s="9" customFormat="1" ht="15" customHeight="1">
      <c r="A13" s="34" t="s">
        <v>247</v>
      </c>
      <c r="B13" s="35" t="s">
        <v>49</v>
      </c>
      <c r="C13" s="35" t="s">
        <v>219</v>
      </c>
      <c r="D13" s="35">
        <v>8</v>
      </c>
      <c r="E13" s="35" t="s">
        <v>248</v>
      </c>
      <c r="F13" s="35" t="s">
        <v>221</v>
      </c>
      <c r="G13" s="35" t="s">
        <v>222</v>
      </c>
      <c r="H13" s="35">
        <v>1</v>
      </c>
      <c r="I13" s="35" t="s">
        <v>204</v>
      </c>
      <c r="J13" s="36"/>
      <c r="K13" s="37">
        <v>3</v>
      </c>
      <c r="L13" s="36">
        <v>0.7</v>
      </c>
      <c r="M13" s="37">
        <v>4</v>
      </c>
      <c r="N13" s="36"/>
      <c r="O13" s="36"/>
      <c r="P13" s="35"/>
      <c r="Q13" s="35"/>
      <c r="R13" s="35"/>
      <c r="S13" s="35" t="s">
        <v>249</v>
      </c>
    </row>
    <row r="14" spans="1:19" ht="15" customHeight="1">
      <c r="A14" s="30" t="s">
        <v>250</v>
      </c>
      <c r="B14" s="31" t="s">
        <v>49</v>
      </c>
      <c r="C14" s="31" t="s">
        <v>213</v>
      </c>
      <c r="D14" s="31">
        <v>9</v>
      </c>
      <c r="E14" s="31" t="s">
        <v>251</v>
      </c>
      <c r="F14" s="31" t="s">
        <v>252</v>
      </c>
      <c r="G14" s="31" t="s">
        <v>253</v>
      </c>
      <c r="H14" s="31">
        <v>1</v>
      </c>
      <c r="I14" s="31" t="s">
        <v>204</v>
      </c>
      <c r="J14" s="32">
        <v>2.7</v>
      </c>
      <c r="K14" s="33"/>
      <c r="L14" s="32"/>
      <c r="M14" s="33">
        <v>5</v>
      </c>
      <c r="N14" s="32"/>
      <c r="O14" s="32"/>
      <c r="P14" s="31"/>
      <c r="Q14" s="31"/>
      <c r="R14" s="31"/>
      <c r="S14" s="31" t="s">
        <v>254</v>
      </c>
    </row>
    <row r="15" spans="1:19" ht="15" customHeight="1">
      <c r="A15" s="34" t="s">
        <v>255</v>
      </c>
      <c r="B15" s="35" t="s">
        <v>49</v>
      </c>
      <c r="C15" s="35" t="s">
        <v>219</v>
      </c>
      <c r="D15" s="35">
        <v>9</v>
      </c>
      <c r="E15" s="35" t="s">
        <v>256</v>
      </c>
      <c r="F15" s="35" t="s">
        <v>257</v>
      </c>
      <c r="G15" s="35" t="s">
        <v>253</v>
      </c>
      <c r="H15" s="35">
        <v>1</v>
      </c>
      <c r="I15" s="35" t="s">
        <v>204</v>
      </c>
      <c r="J15" s="36"/>
      <c r="K15" s="37">
        <v>4</v>
      </c>
      <c r="L15" s="36">
        <v>0.8</v>
      </c>
      <c r="M15" s="37">
        <v>5</v>
      </c>
      <c r="N15" s="36"/>
      <c r="O15" s="36"/>
      <c r="P15" s="35"/>
      <c r="Q15" s="35"/>
      <c r="R15" s="35"/>
      <c r="S15" s="35" t="s">
        <v>258</v>
      </c>
    </row>
    <row r="16" spans="1:19" ht="15" customHeight="1">
      <c r="A16" s="26" t="s">
        <v>259</v>
      </c>
      <c r="B16" s="27" t="s">
        <v>53</v>
      </c>
      <c r="C16" s="27" t="s">
        <v>76</v>
      </c>
      <c r="D16" s="27">
        <v>1</v>
      </c>
      <c r="E16" s="27" t="s">
        <v>260</v>
      </c>
      <c r="F16" s="27" t="s">
        <v>261</v>
      </c>
      <c r="G16" s="27" t="s">
        <v>193</v>
      </c>
      <c r="H16" s="27">
        <v>3</v>
      </c>
      <c r="I16" s="27"/>
      <c r="J16" s="28"/>
      <c r="K16" s="29"/>
      <c r="L16" s="28"/>
      <c r="M16" s="29"/>
      <c r="N16" s="28"/>
      <c r="O16" s="28"/>
      <c r="P16" s="27"/>
      <c r="Q16" s="27"/>
      <c r="R16" s="27"/>
      <c r="S16" s="27" t="s">
        <v>262</v>
      </c>
    </row>
    <row r="17" spans="1:19" ht="26.4" customHeight="1">
      <c r="A17" s="26" t="s">
        <v>263</v>
      </c>
      <c r="B17" s="27" t="s">
        <v>53</v>
      </c>
      <c r="C17" s="27" t="s">
        <v>76</v>
      </c>
      <c r="D17" s="27">
        <v>2</v>
      </c>
      <c r="E17" s="27" t="s">
        <v>264</v>
      </c>
      <c r="F17" s="27" t="s">
        <v>265</v>
      </c>
      <c r="G17" s="27" t="s">
        <v>266</v>
      </c>
      <c r="H17" s="27">
        <v>5</v>
      </c>
      <c r="I17" s="27"/>
      <c r="J17" s="28"/>
      <c r="K17" s="29"/>
      <c r="L17" s="28"/>
      <c r="M17" s="29"/>
      <c r="N17" s="28"/>
      <c r="O17" s="28"/>
      <c r="P17" s="27"/>
      <c r="Q17" s="27"/>
      <c r="R17" s="27"/>
      <c r="S17" s="27" t="s">
        <v>267</v>
      </c>
    </row>
    <row r="18" spans="1:19" ht="15" customHeight="1">
      <c r="A18" s="26" t="s">
        <v>268</v>
      </c>
      <c r="B18" s="27" t="s">
        <v>53</v>
      </c>
      <c r="C18" s="27" t="s">
        <v>76</v>
      </c>
      <c r="D18" s="27">
        <v>3</v>
      </c>
      <c r="E18" s="27" t="s">
        <v>269</v>
      </c>
      <c r="F18" s="27" t="s">
        <v>270</v>
      </c>
      <c r="G18" s="27" t="s">
        <v>266</v>
      </c>
      <c r="H18" s="27">
        <v>1</v>
      </c>
      <c r="I18" s="27" t="s">
        <v>204</v>
      </c>
      <c r="J18" s="28">
        <v>1.3</v>
      </c>
      <c r="K18" s="29"/>
      <c r="L18" s="28"/>
      <c r="M18" s="29">
        <v>3</v>
      </c>
      <c r="N18" s="28"/>
      <c r="O18" s="28">
        <v>0.15</v>
      </c>
      <c r="P18" s="27"/>
      <c r="Q18" s="27"/>
      <c r="R18" s="27"/>
      <c r="S18" s="27" t="s">
        <v>271</v>
      </c>
    </row>
    <row r="19" spans="1:19" ht="15" customHeight="1">
      <c r="A19" s="26" t="s">
        <v>272</v>
      </c>
      <c r="B19" s="27" t="s">
        <v>53</v>
      </c>
      <c r="C19" s="27" t="s">
        <v>76</v>
      </c>
      <c r="D19" s="27">
        <v>4</v>
      </c>
      <c r="E19" s="27" t="s">
        <v>273</v>
      </c>
      <c r="F19" s="27" t="s">
        <v>235</v>
      </c>
      <c r="G19" s="27" t="s">
        <v>209</v>
      </c>
      <c r="H19" s="27">
        <v>3</v>
      </c>
      <c r="I19" s="27"/>
      <c r="J19" s="28"/>
      <c r="K19" s="29"/>
      <c r="L19" s="28"/>
      <c r="M19" s="29"/>
      <c r="N19" s="28"/>
      <c r="O19" s="28"/>
      <c r="P19" s="27"/>
      <c r="Q19" s="27"/>
      <c r="R19" s="27"/>
      <c r="S19" s="27" t="s">
        <v>274</v>
      </c>
    </row>
    <row r="20" spans="1:19" ht="15" customHeight="1">
      <c r="A20" s="38" t="s">
        <v>275</v>
      </c>
      <c r="B20" s="39" t="s">
        <v>53</v>
      </c>
      <c r="C20" s="39" t="s">
        <v>276</v>
      </c>
      <c r="D20" s="39">
        <v>5</v>
      </c>
      <c r="E20" s="39" t="s">
        <v>277</v>
      </c>
      <c r="F20" s="39" t="s">
        <v>278</v>
      </c>
      <c r="G20" s="39" t="s">
        <v>266</v>
      </c>
      <c r="H20" s="39">
        <v>5</v>
      </c>
      <c r="I20" s="39"/>
      <c r="J20" s="40"/>
      <c r="K20" s="41"/>
      <c r="L20" s="40"/>
      <c r="M20" s="41"/>
      <c r="N20" s="40"/>
      <c r="O20" s="40"/>
      <c r="P20" s="39"/>
      <c r="Q20" s="39"/>
      <c r="R20" s="39"/>
      <c r="S20" s="39" t="s">
        <v>279</v>
      </c>
    </row>
    <row r="21" spans="1:19" ht="15" customHeight="1">
      <c r="A21" s="42" t="s">
        <v>280</v>
      </c>
      <c r="B21" s="43" t="s">
        <v>53</v>
      </c>
      <c r="C21" s="43" t="s">
        <v>281</v>
      </c>
      <c r="D21" s="43">
        <v>5</v>
      </c>
      <c r="E21" s="43" t="s">
        <v>282</v>
      </c>
      <c r="F21" s="43" t="s">
        <v>283</v>
      </c>
      <c r="G21" s="43" t="s">
        <v>284</v>
      </c>
      <c r="H21" s="43">
        <v>5</v>
      </c>
      <c r="I21" s="43"/>
      <c r="J21" s="44"/>
      <c r="K21" s="45"/>
      <c r="L21" s="44"/>
      <c r="M21" s="45"/>
      <c r="N21" s="44"/>
      <c r="O21" s="44"/>
      <c r="P21" s="43"/>
      <c r="Q21" s="43"/>
      <c r="R21" s="43"/>
      <c r="S21" s="43" t="s">
        <v>285</v>
      </c>
    </row>
    <row r="22" spans="1:19" ht="15" customHeight="1">
      <c r="A22" s="38" t="s">
        <v>286</v>
      </c>
      <c r="B22" s="39" t="s">
        <v>53</v>
      </c>
      <c r="C22" s="39" t="s">
        <v>276</v>
      </c>
      <c r="D22" s="39">
        <v>6</v>
      </c>
      <c r="E22" s="39" t="s">
        <v>287</v>
      </c>
      <c r="F22" s="39" t="s">
        <v>197</v>
      </c>
      <c r="G22" s="39" t="s">
        <v>266</v>
      </c>
      <c r="H22" s="39">
        <v>1</v>
      </c>
      <c r="I22" s="39" t="s">
        <v>288</v>
      </c>
      <c r="J22" s="40"/>
      <c r="K22" s="41"/>
      <c r="L22" s="40"/>
      <c r="M22" s="41">
        <v>4</v>
      </c>
      <c r="N22" s="40"/>
      <c r="O22" s="40">
        <v>0.5</v>
      </c>
      <c r="P22" s="39"/>
      <c r="Q22" s="39"/>
      <c r="R22" s="39"/>
      <c r="S22" s="39" t="s">
        <v>289</v>
      </c>
    </row>
    <row r="23" spans="1:19" ht="15" customHeight="1">
      <c r="A23" s="42" t="s">
        <v>290</v>
      </c>
      <c r="B23" s="43" t="s">
        <v>53</v>
      </c>
      <c r="C23" s="43" t="s">
        <v>281</v>
      </c>
      <c r="D23" s="43">
        <v>6</v>
      </c>
      <c r="E23" s="43" t="s">
        <v>291</v>
      </c>
      <c r="F23" s="43" t="s">
        <v>292</v>
      </c>
      <c r="G23" s="43" t="s">
        <v>284</v>
      </c>
      <c r="H23" s="43">
        <v>1</v>
      </c>
      <c r="I23" s="43" t="s">
        <v>293</v>
      </c>
      <c r="J23" s="44">
        <v>1.2</v>
      </c>
      <c r="K23" s="45"/>
      <c r="L23" s="44"/>
      <c r="M23" s="45">
        <v>3</v>
      </c>
      <c r="N23" s="44"/>
      <c r="O23" s="44"/>
      <c r="P23" s="43"/>
      <c r="Q23" s="43"/>
      <c r="R23" s="43"/>
      <c r="S23" s="43" t="s">
        <v>294</v>
      </c>
    </row>
    <row r="24" spans="1:19" ht="15" customHeight="1">
      <c r="A24" s="38" t="s">
        <v>295</v>
      </c>
      <c r="B24" s="39" t="s">
        <v>53</v>
      </c>
      <c r="C24" s="39" t="s">
        <v>276</v>
      </c>
      <c r="D24" s="39">
        <v>7</v>
      </c>
      <c r="E24" s="39" t="s">
        <v>296</v>
      </c>
      <c r="F24" s="39" t="s">
        <v>235</v>
      </c>
      <c r="G24" s="39" t="s">
        <v>209</v>
      </c>
      <c r="H24" s="39">
        <v>1</v>
      </c>
      <c r="I24" s="39" t="s">
        <v>236</v>
      </c>
      <c r="J24" s="40"/>
      <c r="K24" s="41"/>
      <c r="L24" s="40"/>
      <c r="M24" s="41">
        <v>4</v>
      </c>
      <c r="N24" s="40">
        <v>0.7</v>
      </c>
      <c r="O24" s="40"/>
      <c r="P24" s="39"/>
      <c r="Q24" s="39"/>
      <c r="R24" s="39"/>
      <c r="S24" s="39" t="s">
        <v>297</v>
      </c>
    </row>
    <row r="25" spans="1:19" ht="15" customHeight="1">
      <c r="A25" s="42" t="s">
        <v>298</v>
      </c>
      <c r="B25" s="43" t="s">
        <v>53</v>
      </c>
      <c r="C25" s="43" t="s">
        <v>281</v>
      </c>
      <c r="D25" s="43">
        <v>7</v>
      </c>
      <c r="E25" s="43" t="s">
        <v>299</v>
      </c>
      <c r="F25" s="43" t="s">
        <v>300</v>
      </c>
      <c r="G25" s="43" t="s">
        <v>284</v>
      </c>
      <c r="H25" s="43">
        <v>1</v>
      </c>
      <c r="I25" s="43" t="s">
        <v>293</v>
      </c>
      <c r="J25" s="44">
        <v>0</v>
      </c>
      <c r="K25" s="45"/>
      <c r="L25" s="44"/>
      <c r="M25" s="45">
        <v>4</v>
      </c>
      <c r="N25" s="44"/>
      <c r="O25" s="44"/>
      <c r="P25" s="43"/>
      <c r="Q25" s="43"/>
      <c r="R25" s="43"/>
      <c r="S25" s="43" t="s">
        <v>301</v>
      </c>
    </row>
    <row r="26" spans="1:19" ht="15" customHeight="1">
      <c r="A26" s="38" t="s">
        <v>302</v>
      </c>
      <c r="B26" s="39" t="s">
        <v>53</v>
      </c>
      <c r="C26" s="39" t="s">
        <v>276</v>
      </c>
      <c r="D26" s="39">
        <v>8</v>
      </c>
      <c r="E26" s="39" t="s">
        <v>303</v>
      </c>
      <c r="F26" s="39" t="s">
        <v>304</v>
      </c>
      <c r="G26" s="39" t="s">
        <v>266</v>
      </c>
      <c r="H26" s="39">
        <v>3</v>
      </c>
      <c r="I26" s="39"/>
      <c r="J26" s="40"/>
      <c r="K26" s="41"/>
      <c r="L26" s="40"/>
      <c r="M26" s="41"/>
      <c r="N26" s="40"/>
      <c r="O26" s="40"/>
      <c r="P26" s="39"/>
      <c r="Q26" s="39"/>
      <c r="R26" s="39"/>
      <c r="S26" s="39" t="s">
        <v>305</v>
      </c>
    </row>
    <row r="27" spans="1:19" ht="15" customHeight="1">
      <c r="A27" s="42" t="s">
        <v>306</v>
      </c>
      <c r="B27" s="43" t="s">
        <v>53</v>
      </c>
      <c r="C27" s="43" t="s">
        <v>281</v>
      </c>
      <c r="D27" s="43">
        <v>8</v>
      </c>
      <c r="E27" s="43" t="s">
        <v>307</v>
      </c>
      <c r="F27" s="43" t="s">
        <v>308</v>
      </c>
      <c r="G27" s="43" t="s">
        <v>284</v>
      </c>
      <c r="H27" s="43">
        <v>3</v>
      </c>
      <c r="I27" s="43"/>
      <c r="J27" s="44"/>
      <c r="K27" s="45"/>
      <c r="L27" s="44"/>
      <c r="M27" s="45"/>
      <c r="N27" s="44"/>
      <c r="O27" s="44"/>
      <c r="P27" s="43"/>
      <c r="Q27" s="43"/>
      <c r="R27" s="43"/>
      <c r="S27" s="53" t="s">
        <v>394</v>
      </c>
    </row>
    <row r="28" spans="1:19" ht="15" customHeight="1">
      <c r="A28" s="38" t="s">
        <v>309</v>
      </c>
      <c r="B28" s="39" t="s">
        <v>53</v>
      </c>
      <c r="C28" s="39" t="s">
        <v>276</v>
      </c>
      <c r="D28" s="39">
        <v>9</v>
      </c>
      <c r="E28" s="39" t="s">
        <v>310</v>
      </c>
      <c r="F28" s="39" t="s">
        <v>311</v>
      </c>
      <c r="G28" s="39" t="s">
        <v>253</v>
      </c>
      <c r="H28" s="39">
        <v>1</v>
      </c>
      <c r="I28" s="39" t="s">
        <v>312</v>
      </c>
      <c r="J28" s="40">
        <v>2.2999999999999998</v>
      </c>
      <c r="K28" s="41"/>
      <c r="L28" s="40"/>
      <c r="M28" s="41">
        <v>5</v>
      </c>
      <c r="N28" s="40"/>
      <c r="O28" s="40">
        <v>0.75</v>
      </c>
      <c r="P28" s="39"/>
      <c r="Q28" s="39"/>
      <c r="R28" s="39"/>
      <c r="S28" s="39" t="s">
        <v>313</v>
      </c>
    </row>
    <row r="29" spans="1:19" ht="15" customHeight="1">
      <c r="A29" s="42" t="s">
        <v>314</v>
      </c>
      <c r="B29" s="43" t="s">
        <v>53</v>
      </c>
      <c r="C29" s="43" t="s">
        <v>281</v>
      </c>
      <c r="D29" s="43">
        <v>9</v>
      </c>
      <c r="E29" s="43" t="s">
        <v>315</v>
      </c>
      <c r="F29" s="43" t="s">
        <v>231</v>
      </c>
      <c r="G29" s="43" t="s">
        <v>253</v>
      </c>
      <c r="H29" s="43">
        <v>1</v>
      </c>
      <c r="I29" s="43" t="s">
        <v>293</v>
      </c>
      <c r="J29" s="44">
        <v>2.6</v>
      </c>
      <c r="K29" s="45"/>
      <c r="L29" s="44"/>
      <c r="M29" s="45">
        <v>5</v>
      </c>
      <c r="N29" s="44"/>
      <c r="O29" s="44"/>
      <c r="P29" s="43"/>
      <c r="Q29" s="43"/>
      <c r="R29" s="43"/>
      <c r="S29" s="43" t="s">
        <v>316</v>
      </c>
    </row>
    <row r="30" spans="1:19" ht="15" customHeight="1">
      <c r="A30" s="26" t="s">
        <v>317</v>
      </c>
      <c r="B30" s="27" t="s">
        <v>35</v>
      </c>
      <c r="C30" s="27" t="s">
        <v>76</v>
      </c>
      <c r="D30" s="27">
        <v>1</v>
      </c>
      <c r="E30" s="27" t="s">
        <v>318</v>
      </c>
      <c r="F30" s="27" t="s">
        <v>319</v>
      </c>
      <c r="G30" s="27" t="s">
        <v>193</v>
      </c>
      <c r="H30" s="27">
        <v>3</v>
      </c>
      <c r="I30" s="27"/>
      <c r="J30" s="28"/>
      <c r="K30" s="29"/>
      <c r="L30" s="28"/>
      <c r="M30" s="29"/>
      <c r="N30" s="28"/>
      <c r="O30" s="28"/>
      <c r="P30" s="27"/>
      <c r="Q30" s="27"/>
      <c r="R30" s="27"/>
      <c r="S30" s="27" t="s">
        <v>320</v>
      </c>
    </row>
    <row r="31" spans="1:19" ht="15" customHeight="1">
      <c r="A31" s="26" t="s">
        <v>321</v>
      </c>
      <c r="B31" s="27" t="s">
        <v>35</v>
      </c>
      <c r="C31" s="27" t="s">
        <v>76</v>
      </c>
      <c r="D31" s="27">
        <v>2</v>
      </c>
      <c r="E31" s="27" t="s">
        <v>322</v>
      </c>
      <c r="F31" s="27" t="s">
        <v>323</v>
      </c>
      <c r="G31" s="27" t="s">
        <v>203</v>
      </c>
      <c r="H31" s="27">
        <v>3</v>
      </c>
      <c r="I31" s="27"/>
      <c r="J31" s="28"/>
      <c r="K31" s="29"/>
      <c r="L31" s="28"/>
      <c r="M31" s="29"/>
      <c r="N31" s="28"/>
      <c r="O31" s="28"/>
      <c r="P31" s="27"/>
      <c r="Q31" s="27"/>
      <c r="R31" s="27"/>
      <c r="S31" s="27" t="s">
        <v>324</v>
      </c>
    </row>
    <row r="32" spans="1:19" ht="15" customHeight="1">
      <c r="A32" s="26" t="s">
        <v>325</v>
      </c>
      <c r="B32" s="27" t="s">
        <v>35</v>
      </c>
      <c r="C32" s="27" t="s">
        <v>76</v>
      </c>
      <c r="D32" s="27">
        <v>3</v>
      </c>
      <c r="E32" s="27" t="s">
        <v>326</v>
      </c>
      <c r="F32" s="27" t="s">
        <v>235</v>
      </c>
      <c r="G32" s="27" t="s">
        <v>209</v>
      </c>
      <c r="H32" s="27">
        <v>3</v>
      </c>
      <c r="I32" s="27"/>
      <c r="J32" s="28"/>
      <c r="K32" s="29"/>
      <c r="L32" s="28"/>
      <c r="M32" s="29"/>
      <c r="N32" s="28"/>
      <c r="O32" s="28"/>
      <c r="P32" s="27"/>
      <c r="Q32" s="27"/>
      <c r="R32" s="27"/>
      <c r="S32" s="27" t="s">
        <v>327</v>
      </c>
    </row>
    <row r="33" spans="1:19" ht="15" customHeight="1">
      <c r="A33" s="26" t="s">
        <v>328</v>
      </c>
      <c r="B33" s="27" t="s">
        <v>35</v>
      </c>
      <c r="C33" s="27" t="s">
        <v>76</v>
      </c>
      <c r="D33" s="27">
        <v>4</v>
      </c>
      <c r="E33" s="27" t="s">
        <v>329</v>
      </c>
      <c r="F33" s="27" t="s">
        <v>330</v>
      </c>
      <c r="G33" s="27" t="s">
        <v>203</v>
      </c>
      <c r="H33" s="27">
        <v>1</v>
      </c>
      <c r="I33" s="27" t="s">
        <v>204</v>
      </c>
      <c r="J33" s="28">
        <v>1.5</v>
      </c>
      <c r="K33" s="29"/>
      <c r="L33" s="28"/>
      <c r="M33" s="29">
        <v>3</v>
      </c>
      <c r="N33" s="28"/>
      <c r="O33" s="28"/>
      <c r="P33" s="27"/>
      <c r="Q33" s="27"/>
      <c r="R33" s="27"/>
      <c r="S33" s="27" t="s">
        <v>331</v>
      </c>
    </row>
    <row r="34" spans="1:19" ht="15" customHeight="1">
      <c r="A34" s="30" t="s">
        <v>332</v>
      </c>
      <c r="B34" s="31" t="s">
        <v>35</v>
      </c>
      <c r="C34" s="31" t="s">
        <v>333</v>
      </c>
      <c r="D34" s="31">
        <v>5</v>
      </c>
      <c r="E34" s="31" t="s">
        <v>334</v>
      </c>
      <c r="F34" s="31" t="s">
        <v>235</v>
      </c>
      <c r="G34" s="31" t="s">
        <v>209</v>
      </c>
      <c r="H34" s="31">
        <v>1</v>
      </c>
      <c r="I34" s="31" t="s">
        <v>236</v>
      </c>
      <c r="J34" s="32"/>
      <c r="K34" s="33"/>
      <c r="L34" s="32"/>
      <c r="M34" s="33">
        <v>3</v>
      </c>
      <c r="N34" s="32">
        <v>0.25</v>
      </c>
      <c r="O34" s="32"/>
      <c r="P34" s="31"/>
      <c r="Q34" s="31"/>
      <c r="R34" s="31"/>
      <c r="S34" s="31" t="s">
        <v>335</v>
      </c>
    </row>
    <row r="35" spans="1:19" ht="15" customHeight="1">
      <c r="A35" s="34" t="s">
        <v>336</v>
      </c>
      <c r="B35" s="35" t="s">
        <v>35</v>
      </c>
      <c r="C35" s="35" t="s">
        <v>34</v>
      </c>
      <c r="D35" s="35">
        <v>5</v>
      </c>
      <c r="E35" s="35" t="s">
        <v>337</v>
      </c>
      <c r="F35" s="35" t="s">
        <v>330</v>
      </c>
      <c r="G35" s="35" t="s">
        <v>203</v>
      </c>
      <c r="H35" s="35">
        <v>3</v>
      </c>
      <c r="I35" s="35"/>
      <c r="J35" s="36"/>
      <c r="K35" s="37"/>
      <c r="L35" s="36"/>
      <c r="M35" s="37"/>
      <c r="N35" s="36"/>
      <c r="O35" s="36"/>
      <c r="P35" s="35"/>
      <c r="Q35" s="35"/>
      <c r="R35" s="35"/>
      <c r="S35" s="35" t="s">
        <v>338</v>
      </c>
    </row>
    <row r="36" spans="1:19" ht="15" customHeight="1">
      <c r="A36" s="30" t="s">
        <v>339</v>
      </c>
      <c r="B36" s="31" t="s">
        <v>35</v>
      </c>
      <c r="C36" s="31" t="s">
        <v>333</v>
      </c>
      <c r="D36" s="31">
        <v>6</v>
      </c>
      <c r="E36" s="31" t="s">
        <v>340</v>
      </c>
      <c r="F36" s="31" t="s">
        <v>341</v>
      </c>
      <c r="G36" s="31" t="s">
        <v>209</v>
      </c>
      <c r="H36" s="31">
        <v>5</v>
      </c>
      <c r="I36" s="31"/>
      <c r="J36" s="32"/>
      <c r="K36" s="33"/>
      <c r="L36" s="32"/>
      <c r="M36" s="33"/>
      <c r="N36" s="32"/>
      <c r="O36" s="32"/>
      <c r="P36" s="31"/>
      <c r="Q36" s="31"/>
      <c r="R36" s="31"/>
      <c r="S36" s="31" t="s">
        <v>342</v>
      </c>
    </row>
    <row r="37" spans="1:19" ht="15" customHeight="1">
      <c r="A37" s="34" t="s">
        <v>343</v>
      </c>
      <c r="B37" s="35" t="s">
        <v>35</v>
      </c>
      <c r="C37" s="35" t="s">
        <v>34</v>
      </c>
      <c r="D37" s="35">
        <v>6</v>
      </c>
      <c r="E37" s="35" t="s">
        <v>344</v>
      </c>
      <c r="F37" s="35" t="s">
        <v>323</v>
      </c>
      <c r="G37" s="35" t="s">
        <v>203</v>
      </c>
      <c r="H37" s="35">
        <v>1</v>
      </c>
      <c r="I37" s="35" t="s">
        <v>204</v>
      </c>
      <c r="J37" s="36">
        <v>1.8</v>
      </c>
      <c r="K37" s="37"/>
      <c r="L37" s="36"/>
      <c r="M37" s="37">
        <v>4</v>
      </c>
      <c r="N37" s="36"/>
      <c r="O37" s="36"/>
      <c r="P37" s="35"/>
      <c r="Q37" s="35"/>
      <c r="R37" s="35"/>
      <c r="S37" s="35" t="s">
        <v>367</v>
      </c>
    </row>
    <row r="38" spans="1:19" ht="15" customHeight="1">
      <c r="A38" s="30" t="s">
        <v>345</v>
      </c>
      <c r="B38" s="31" t="s">
        <v>35</v>
      </c>
      <c r="C38" s="31" t="s">
        <v>333</v>
      </c>
      <c r="D38" s="31">
        <v>7</v>
      </c>
      <c r="E38" s="31" t="s">
        <v>346</v>
      </c>
      <c r="F38" s="31" t="s">
        <v>347</v>
      </c>
      <c r="G38" s="31" t="s">
        <v>209</v>
      </c>
      <c r="H38" s="31">
        <v>3</v>
      </c>
      <c r="I38" s="31"/>
      <c r="J38" s="32"/>
      <c r="K38" s="33"/>
      <c r="L38" s="32"/>
      <c r="M38" s="33"/>
      <c r="N38" s="32"/>
      <c r="O38" s="32"/>
      <c r="P38" s="31"/>
      <c r="Q38" s="31"/>
      <c r="R38" s="31"/>
      <c r="S38" s="31" t="s">
        <v>348</v>
      </c>
    </row>
    <row r="39" spans="1:19" ht="15" customHeight="1">
      <c r="A39" s="34" t="s">
        <v>349</v>
      </c>
      <c r="B39" s="35" t="s">
        <v>35</v>
      </c>
      <c r="C39" s="35" t="s">
        <v>34</v>
      </c>
      <c r="D39" s="35">
        <v>7</v>
      </c>
      <c r="E39" s="35" t="s">
        <v>350</v>
      </c>
      <c r="F39" s="35" t="s">
        <v>221</v>
      </c>
      <c r="G39" s="35" t="s">
        <v>203</v>
      </c>
      <c r="H39" s="35">
        <v>3</v>
      </c>
      <c r="I39" s="35"/>
      <c r="J39" s="36"/>
      <c r="K39" s="37"/>
      <c r="L39" s="36"/>
      <c r="M39" s="37"/>
      <c r="N39" s="36"/>
      <c r="O39" s="36"/>
      <c r="P39" s="35"/>
      <c r="Q39" s="35"/>
      <c r="R39" s="35"/>
      <c r="S39" s="35" t="s">
        <v>351</v>
      </c>
    </row>
    <row r="40" spans="1:19" ht="15" customHeight="1">
      <c r="A40" s="30" t="s">
        <v>352</v>
      </c>
      <c r="B40" s="31" t="s">
        <v>35</v>
      </c>
      <c r="C40" s="31" t="s">
        <v>333</v>
      </c>
      <c r="D40" s="31">
        <v>8</v>
      </c>
      <c r="E40" s="31" t="s">
        <v>353</v>
      </c>
      <c r="F40" s="31" t="s">
        <v>235</v>
      </c>
      <c r="G40" s="31" t="s">
        <v>209</v>
      </c>
      <c r="H40" s="31">
        <v>1</v>
      </c>
      <c r="I40" s="31" t="s">
        <v>354</v>
      </c>
      <c r="J40" s="32"/>
      <c r="K40" s="33"/>
      <c r="L40" s="32"/>
      <c r="M40" s="33">
        <v>4</v>
      </c>
      <c r="N40" s="32">
        <v>0.25</v>
      </c>
      <c r="O40" s="32"/>
      <c r="P40" s="31"/>
      <c r="Q40" s="31"/>
      <c r="R40" s="31"/>
      <c r="S40" s="31" t="s">
        <v>355</v>
      </c>
    </row>
    <row r="41" spans="1:19" ht="15" customHeight="1">
      <c r="A41" s="34" t="s">
        <v>356</v>
      </c>
      <c r="B41" s="35" t="s">
        <v>35</v>
      </c>
      <c r="C41" s="35" t="s">
        <v>34</v>
      </c>
      <c r="D41" s="35">
        <v>8</v>
      </c>
      <c r="E41" s="35" t="s">
        <v>357</v>
      </c>
      <c r="F41" s="35" t="s">
        <v>240</v>
      </c>
      <c r="G41" s="35" t="s">
        <v>203</v>
      </c>
      <c r="H41" s="35">
        <v>3</v>
      </c>
      <c r="I41" s="35"/>
      <c r="J41" s="36"/>
      <c r="K41" s="37"/>
      <c r="L41" s="36"/>
      <c r="M41" s="37"/>
      <c r="N41" s="36"/>
      <c r="O41" s="36"/>
      <c r="P41" s="35"/>
      <c r="Q41" s="35"/>
      <c r="R41" s="35"/>
      <c r="S41" s="35" t="s">
        <v>358</v>
      </c>
    </row>
    <row r="42" spans="1:19" ht="15" customHeight="1">
      <c r="A42" s="30" t="s">
        <v>359</v>
      </c>
      <c r="B42" s="31" t="s">
        <v>35</v>
      </c>
      <c r="C42" s="31" t="s">
        <v>333</v>
      </c>
      <c r="D42" s="31">
        <v>9</v>
      </c>
      <c r="E42" s="31" t="s">
        <v>360</v>
      </c>
      <c r="F42" s="31" t="s">
        <v>270</v>
      </c>
      <c r="G42" s="31" t="s">
        <v>253</v>
      </c>
      <c r="H42" s="31">
        <v>1</v>
      </c>
      <c r="I42" s="31"/>
      <c r="J42" s="32"/>
      <c r="K42" s="33"/>
      <c r="L42" s="32"/>
      <c r="M42" s="33"/>
      <c r="N42" s="32"/>
      <c r="O42" s="32"/>
      <c r="P42" s="31"/>
      <c r="Q42" s="31"/>
      <c r="R42" s="31"/>
      <c r="S42" s="31" t="s">
        <v>361</v>
      </c>
    </row>
    <row r="43" spans="1:19" ht="15" customHeight="1">
      <c r="A43" s="46" t="s">
        <v>362</v>
      </c>
      <c r="B43" s="47" t="s">
        <v>35</v>
      </c>
      <c r="C43" s="47" t="s">
        <v>34</v>
      </c>
      <c r="D43" s="47">
        <v>9</v>
      </c>
      <c r="E43" s="47" t="s">
        <v>363</v>
      </c>
      <c r="F43" s="47" t="s">
        <v>311</v>
      </c>
      <c r="G43" s="47" t="s">
        <v>253</v>
      </c>
      <c r="H43" s="47">
        <v>1</v>
      </c>
      <c r="I43" s="47" t="s">
        <v>364</v>
      </c>
      <c r="J43" s="48">
        <v>4.5</v>
      </c>
      <c r="K43" s="49"/>
      <c r="L43" s="48"/>
      <c r="M43" s="49">
        <v>5</v>
      </c>
      <c r="N43" s="48"/>
      <c r="O43" s="48"/>
      <c r="P43" s="47"/>
      <c r="Q43" s="47"/>
      <c r="R43" s="47"/>
      <c r="S43" s="47" t="s">
        <v>365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7"/>
  <sheetViews>
    <sheetView showGridLines="0" workbookViewId="0"/>
  </sheetViews>
  <sheetFormatPr defaultRowHeight="14"/>
  <cols>
    <col min="1" max="2" width="6" customWidth="1"/>
    <col min="3" max="4" width="10.1640625" customWidth="1"/>
    <col min="5" max="5" width="18" customWidth="1"/>
    <col min="6" max="9" width="10.1640625" customWidth="1"/>
    <col min="10" max="11" width="12" customWidth="1"/>
    <col min="12" max="13" width="14.25" customWidth="1"/>
    <col min="14" max="14" width="18" customWidth="1"/>
    <col min="15" max="15" width="14.6640625" customWidth="1"/>
    <col min="16" max="16" width="8.25" customWidth="1"/>
    <col min="17" max="17" width="10.1640625" customWidth="1"/>
    <col min="18" max="18" width="14.25" customWidth="1"/>
    <col min="19" max="19" width="8.25" customWidth="1"/>
    <col min="20" max="20" width="4.25" customWidth="1"/>
    <col min="21" max="21" width="6.75" customWidth="1"/>
    <col min="22" max="23" width="6" customWidth="1"/>
    <col min="24" max="25" width="7.9140625" customWidth="1"/>
    <col min="26" max="26" width="12.4140625" customWidth="1"/>
    <col min="27" max="27" width="16" customWidth="1"/>
    <col min="28" max="28" width="14.25" customWidth="1"/>
    <col min="29" max="29" width="16" customWidth="1"/>
  </cols>
  <sheetData>
    <row r="1" spans="1:29" ht="42" customHeight="1">
      <c r="A1" s="10" t="s">
        <v>18</v>
      </c>
      <c r="B1" s="10" t="s">
        <v>175</v>
      </c>
      <c r="C1" s="10" t="s">
        <v>368</v>
      </c>
      <c r="D1" s="10" t="s">
        <v>369</v>
      </c>
      <c r="E1" s="10" t="s">
        <v>370</v>
      </c>
      <c r="F1" s="10" t="s">
        <v>371</v>
      </c>
      <c r="G1" s="10" t="s">
        <v>372</v>
      </c>
      <c r="H1" s="10" t="s">
        <v>373</v>
      </c>
      <c r="I1" s="10" t="s">
        <v>374</v>
      </c>
      <c r="J1" s="10" t="s">
        <v>375</v>
      </c>
      <c r="K1" s="10" t="s">
        <v>376</v>
      </c>
      <c r="L1" s="10" t="s">
        <v>377</v>
      </c>
      <c r="M1" s="10" t="s">
        <v>378</v>
      </c>
      <c r="N1" s="10" t="s">
        <v>379</v>
      </c>
      <c r="O1" s="10" t="s">
        <v>380</v>
      </c>
      <c r="P1" s="10" t="s">
        <v>381</v>
      </c>
      <c r="Q1" s="10" t="s">
        <v>382</v>
      </c>
      <c r="R1" s="10" t="s">
        <v>383</v>
      </c>
      <c r="S1" s="10" t="s">
        <v>384</v>
      </c>
      <c r="T1" s="10" t="s">
        <v>385</v>
      </c>
      <c r="U1" s="10" t="s">
        <v>386</v>
      </c>
      <c r="V1" s="10" t="s">
        <v>186</v>
      </c>
      <c r="W1" s="10" t="s">
        <v>387</v>
      </c>
      <c r="X1" s="10" t="s">
        <v>185</v>
      </c>
      <c r="Y1" s="10" t="s">
        <v>388</v>
      </c>
      <c r="Z1" s="10" t="s">
        <v>389</v>
      </c>
      <c r="AA1" s="10" t="s">
        <v>390</v>
      </c>
      <c r="AB1" s="10" t="s">
        <v>391</v>
      </c>
      <c r="AC1" s="10" t="s">
        <v>392</v>
      </c>
    </row>
    <row r="2" spans="1:29" ht="14" customHeight="1">
      <c r="A2" s="11" t="s">
        <v>35</v>
      </c>
      <c r="B2" s="11" t="s">
        <v>333</v>
      </c>
      <c r="C2" s="17">
        <v>8</v>
      </c>
      <c r="D2" s="17">
        <v>1</v>
      </c>
      <c r="E2" s="17">
        <v>0</v>
      </c>
      <c r="F2" s="18">
        <f t="shared" ref="F2:F7" si="0">SUM(C2:E2)</f>
        <v>9</v>
      </c>
      <c r="G2" s="18">
        <f t="shared" ref="G2:G7" si="1">MAX(1,ROUND(F2*0.3,0))</f>
        <v>3</v>
      </c>
      <c r="H2" s="18">
        <f t="shared" ref="H2:H7" si="2">MAX(1,ROUND(F2*0.5,0))</f>
        <v>5</v>
      </c>
      <c r="I2" s="18">
        <f t="shared" ref="I2:I7" si="3">MAX(1,ROUND(F2*0.7,0))</f>
        <v>6</v>
      </c>
      <c r="J2" s="13">
        <v>1</v>
      </c>
      <c r="K2" s="18">
        <f t="shared" ref="K2:K7" si="4">ROUND(H2*J2,0)</f>
        <v>5</v>
      </c>
      <c r="L2" s="13">
        <v>1.5</v>
      </c>
      <c r="M2" s="18">
        <f t="shared" ref="M2:M7" si="5">ROUND(K2*L2,0)</f>
        <v>8</v>
      </c>
      <c r="N2" s="12" t="s">
        <v>353</v>
      </c>
      <c r="O2" s="14">
        <v>0</v>
      </c>
      <c r="P2" s="19">
        <f>Y2</f>
        <v>0</v>
      </c>
      <c r="Q2" s="13">
        <v>0.15</v>
      </c>
      <c r="R2" s="13">
        <v>1.5</v>
      </c>
      <c r="S2" s="17">
        <v>10</v>
      </c>
      <c r="T2" s="20">
        <f t="shared" ref="T2:T7" si="6">8+R2*4+S2*2</f>
        <v>34</v>
      </c>
      <c r="U2" s="19">
        <f t="shared" ref="U2:U7" si="7">8+S2*4+T2*2</f>
        <v>116</v>
      </c>
      <c r="V2" s="14">
        <v>0</v>
      </c>
      <c r="W2" s="19">
        <f>ROUND(U2*V2,0)</f>
        <v>0</v>
      </c>
      <c r="X2" s="14">
        <f t="shared" ref="X2:X7" si="8">ROUND(T2*W2,0)</f>
        <v>0</v>
      </c>
      <c r="Y2" s="21">
        <f t="shared" ref="Y2:Y7" si="9">ROUND(U2*X2,0)</f>
        <v>0</v>
      </c>
      <c r="Z2" s="15">
        <v>0.1</v>
      </c>
      <c r="AA2" s="15">
        <v>0.1</v>
      </c>
      <c r="AB2" s="15">
        <f t="shared" ref="AB2:AB7" si="10">MIN(1,Z2+AA2)</f>
        <v>0.2</v>
      </c>
      <c r="AC2" s="16">
        <f t="shared" ref="AC2:AC7" si="11">MIN(1,AA2+AB2)</f>
        <v>0.30000000000000004</v>
      </c>
    </row>
    <row r="3" spans="1:29" ht="14" customHeight="1">
      <c r="A3" s="11" t="s">
        <v>35</v>
      </c>
      <c r="B3" s="11" t="s">
        <v>34</v>
      </c>
      <c r="C3" s="17">
        <v>8</v>
      </c>
      <c r="D3" s="17">
        <v>1</v>
      </c>
      <c r="E3" s="17">
        <v>3</v>
      </c>
      <c r="F3" s="18">
        <f t="shared" si="0"/>
        <v>12</v>
      </c>
      <c r="G3" s="18">
        <f t="shared" si="1"/>
        <v>4</v>
      </c>
      <c r="H3" s="18">
        <f t="shared" si="2"/>
        <v>6</v>
      </c>
      <c r="I3" s="18">
        <f t="shared" si="3"/>
        <v>8</v>
      </c>
      <c r="J3" s="13">
        <v>1</v>
      </c>
      <c r="K3" s="18">
        <f t="shared" si="4"/>
        <v>6</v>
      </c>
      <c r="L3" s="13">
        <v>1.5</v>
      </c>
      <c r="M3" s="18">
        <f t="shared" si="5"/>
        <v>9</v>
      </c>
      <c r="N3" s="12" t="s">
        <v>344</v>
      </c>
      <c r="O3" s="14">
        <v>1.8</v>
      </c>
      <c r="P3" s="19">
        <f>ROUND(H3*O3,0)</f>
        <v>11</v>
      </c>
      <c r="Q3" s="13">
        <v>0.15</v>
      </c>
      <c r="R3" s="13">
        <v>1.5</v>
      </c>
      <c r="S3" s="17">
        <v>7</v>
      </c>
      <c r="T3" s="20">
        <f t="shared" si="6"/>
        <v>28</v>
      </c>
      <c r="U3" s="19">
        <f t="shared" si="7"/>
        <v>92</v>
      </c>
      <c r="V3" s="14">
        <v>0</v>
      </c>
      <c r="W3" s="19">
        <f>ROUND(U3*V3,0)</f>
        <v>0</v>
      </c>
      <c r="X3" s="14">
        <f t="shared" si="8"/>
        <v>0</v>
      </c>
      <c r="Y3" s="21">
        <f t="shared" si="9"/>
        <v>0</v>
      </c>
      <c r="Z3" s="15">
        <v>0.1</v>
      </c>
      <c r="AA3" s="15">
        <v>0.1</v>
      </c>
      <c r="AB3" s="15">
        <f t="shared" si="10"/>
        <v>0.2</v>
      </c>
      <c r="AC3" s="16">
        <f t="shared" si="11"/>
        <v>0.30000000000000004</v>
      </c>
    </row>
    <row r="4" spans="1:29" ht="14" customHeight="1">
      <c r="A4" s="11" t="s">
        <v>49</v>
      </c>
      <c r="B4" s="11" t="s">
        <v>213</v>
      </c>
      <c r="C4" s="17">
        <v>9</v>
      </c>
      <c r="D4" s="17">
        <v>1</v>
      </c>
      <c r="E4" s="17">
        <v>2</v>
      </c>
      <c r="F4" s="18">
        <f t="shared" si="0"/>
        <v>12</v>
      </c>
      <c r="G4" s="18">
        <f t="shared" si="1"/>
        <v>4</v>
      </c>
      <c r="H4" s="18">
        <f t="shared" si="2"/>
        <v>6</v>
      </c>
      <c r="I4" s="18">
        <f t="shared" si="3"/>
        <v>8</v>
      </c>
      <c r="J4" s="13">
        <v>1</v>
      </c>
      <c r="K4" s="18">
        <f t="shared" si="4"/>
        <v>6</v>
      </c>
      <c r="L4" s="13">
        <v>1.5</v>
      </c>
      <c r="M4" s="18">
        <f t="shared" si="5"/>
        <v>9</v>
      </c>
      <c r="N4" s="12" t="s">
        <v>226</v>
      </c>
      <c r="O4" s="14">
        <v>1.8</v>
      </c>
      <c r="P4" s="19">
        <f>ROUND(H4*O4,0)</f>
        <v>11</v>
      </c>
      <c r="Q4" s="13">
        <v>0.15</v>
      </c>
      <c r="R4" s="13">
        <v>1.5</v>
      </c>
      <c r="S4" s="17">
        <v>4</v>
      </c>
      <c r="T4" s="20">
        <f t="shared" si="6"/>
        <v>22</v>
      </c>
      <c r="U4" s="19">
        <f t="shared" si="7"/>
        <v>68</v>
      </c>
      <c r="V4" s="14">
        <v>0</v>
      </c>
      <c r="W4" s="19">
        <f>ROUND(U4*V4,0)</f>
        <v>0</v>
      </c>
      <c r="X4" s="14">
        <f t="shared" si="8"/>
        <v>0</v>
      </c>
      <c r="Y4" s="21">
        <f t="shared" si="9"/>
        <v>0</v>
      </c>
      <c r="Z4" s="15">
        <v>0.1</v>
      </c>
      <c r="AA4" s="15">
        <v>0.1</v>
      </c>
      <c r="AB4" s="15">
        <f t="shared" si="10"/>
        <v>0.2</v>
      </c>
      <c r="AC4" s="16">
        <f t="shared" si="11"/>
        <v>0.30000000000000004</v>
      </c>
    </row>
    <row r="5" spans="1:29" ht="14" customHeight="1">
      <c r="A5" s="11" t="s">
        <v>49</v>
      </c>
      <c r="B5" s="11" t="s">
        <v>219</v>
      </c>
      <c r="C5" s="17">
        <v>9</v>
      </c>
      <c r="D5" s="17">
        <v>1</v>
      </c>
      <c r="E5" s="17">
        <v>4</v>
      </c>
      <c r="F5" s="18">
        <f t="shared" si="0"/>
        <v>14</v>
      </c>
      <c r="G5" s="18">
        <f t="shared" si="1"/>
        <v>4</v>
      </c>
      <c r="H5" s="18">
        <f t="shared" si="2"/>
        <v>7</v>
      </c>
      <c r="I5" s="18">
        <f t="shared" si="3"/>
        <v>10</v>
      </c>
      <c r="J5" s="13">
        <v>1</v>
      </c>
      <c r="K5" s="18">
        <f t="shared" si="4"/>
        <v>7</v>
      </c>
      <c r="L5" s="13">
        <v>1.5</v>
      </c>
      <c r="M5" s="18">
        <f t="shared" si="5"/>
        <v>11</v>
      </c>
      <c r="N5" s="12" t="s">
        <v>393</v>
      </c>
      <c r="O5" s="14">
        <v>1.7</v>
      </c>
      <c r="P5" s="19">
        <f>ROUND(H5*O5,0)</f>
        <v>12</v>
      </c>
      <c r="Q5" s="13">
        <v>0.15</v>
      </c>
      <c r="R5" s="13">
        <v>1.5</v>
      </c>
      <c r="S5" s="17">
        <v>2</v>
      </c>
      <c r="T5" s="20">
        <f t="shared" si="6"/>
        <v>18</v>
      </c>
      <c r="U5" s="19">
        <f t="shared" si="7"/>
        <v>52</v>
      </c>
      <c r="V5" s="14">
        <v>0</v>
      </c>
      <c r="W5" s="19">
        <f>ROUND(U5*V5,0)</f>
        <v>0</v>
      </c>
      <c r="X5" s="14">
        <f t="shared" si="8"/>
        <v>0</v>
      </c>
      <c r="Y5" s="21">
        <f t="shared" si="9"/>
        <v>0</v>
      </c>
      <c r="Z5" s="15">
        <v>0.1</v>
      </c>
      <c r="AA5" s="15">
        <v>0.1</v>
      </c>
      <c r="AB5" s="15">
        <f t="shared" si="10"/>
        <v>0.2</v>
      </c>
      <c r="AC5" s="16">
        <f t="shared" si="11"/>
        <v>0.30000000000000004</v>
      </c>
    </row>
    <row r="6" spans="1:29" ht="14" customHeight="1">
      <c r="A6" s="11" t="s">
        <v>53</v>
      </c>
      <c r="B6" s="11" t="s">
        <v>276</v>
      </c>
      <c r="C6" s="17">
        <v>9</v>
      </c>
      <c r="D6" s="17">
        <v>1</v>
      </c>
      <c r="E6" s="17">
        <v>3</v>
      </c>
      <c r="F6" s="18">
        <f t="shared" si="0"/>
        <v>13</v>
      </c>
      <c r="G6" s="18">
        <f t="shared" si="1"/>
        <v>4</v>
      </c>
      <c r="H6" s="18">
        <f t="shared" si="2"/>
        <v>7</v>
      </c>
      <c r="I6" s="18">
        <f t="shared" si="3"/>
        <v>9</v>
      </c>
      <c r="J6" s="13">
        <v>1</v>
      </c>
      <c r="K6" s="18">
        <f t="shared" si="4"/>
        <v>7</v>
      </c>
      <c r="L6" s="13">
        <v>1.5</v>
      </c>
      <c r="M6" s="18">
        <f t="shared" si="5"/>
        <v>11</v>
      </c>
      <c r="N6" s="12" t="s">
        <v>310</v>
      </c>
      <c r="O6" s="14">
        <v>2.2999999999999998</v>
      </c>
      <c r="P6" s="19">
        <f>ROUND(H6*O6,0)</f>
        <v>16</v>
      </c>
      <c r="Q6" s="13">
        <v>0.15</v>
      </c>
      <c r="R6" s="13">
        <v>1.5</v>
      </c>
      <c r="S6" s="17">
        <v>4</v>
      </c>
      <c r="T6" s="20">
        <f t="shared" si="6"/>
        <v>22</v>
      </c>
      <c r="U6" s="19">
        <f t="shared" si="7"/>
        <v>68</v>
      </c>
      <c r="V6" s="14">
        <v>0.75</v>
      </c>
      <c r="W6" s="19">
        <f>ROUND(P6*V6,0)</f>
        <v>12</v>
      </c>
      <c r="X6" s="14">
        <f t="shared" si="8"/>
        <v>264</v>
      </c>
      <c r="Y6" s="21">
        <f t="shared" si="9"/>
        <v>17952</v>
      </c>
      <c r="Z6" s="15">
        <v>0.1</v>
      </c>
      <c r="AA6" s="15">
        <v>0.1</v>
      </c>
      <c r="AB6" s="15">
        <f t="shared" si="10"/>
        <v>0.2</v>
      </c>
      <c r="AC6" s="16">
        <f t="shared" si="11"/>
        <v>0.30000000000000004</v>
      </c>
    </row>
    <row r="7" spans="1:29" ht="14" customHeight="1">
      <c r="A7" s="11" t="s">
        <v>53</v>
      </c>
      <c r="B7" s="11" t="s">
        <v>281</v>
      </c>
      <c r="C7" s="17">
        <v>9</v>
      </c>
      <c r="D7" s="17">
        <v>1</v>
      </c>
      <c r="E7" s="17">
        <v>4</v>
      </c>
      <c r="F7" s="18">
        <f t="shared" si="0"/>
        <v>14</v>
      </c>
      <c r="G7" s="18">
        <f t="shared" si="1"/>
        <v>4</v>
      </c>
      <c r="H7" s="18">
        <f t="shared" si="2"/>
        <v>7</v>
      </c>
      <c r="I7" s="18">
        <f t="shared" si="3"/>
        <v>10</v>
      </c>
      <c r="J7" s="13">
        <v>1</v>
      </c>
      <c r="K7" s="18">
        <f t="shared" si="4"/>
        <v>7</v>
      </c>
      <c r="L7" s="13">
        <v>1.5</v>
      </c>
      <c r="M7" s="18">
        <f t="shared" si="5"/>
        <v>11</v>
      </c>
      <c r="N7" s="12" t="s">
        <v>315</v>
      </c>
      <c r="O7" s="14">
        <v>2.6</v>
      </c>
      <c r="P7" s="19">
        <f>ROUND(H7*O7,0)</f>
        <v>18</v>
      </c>
      <c r="Q7" s="13">
        <v>0.15</v>
      </c>
      <c r="R7" s="13">
        <v>1.5</v>
      </c>
      <c r="S7" s="17">
        <v>2</v>
      </c>
      <c r="T7" s="20">
        <f t="shared" si="6"/>
        <v>18</v>
      </c>
      <c r="U7" s="19">
        <f t="shared" si="7"/>
        <v>52</v>
      </c>
      <c r="V7" s="14">
        <v>0</v>
      </c>
      <c r="W7" s="19">
        <f>ROUND(U7*V7,0)</f>
        <v>0</v>
      </c>
      <c r="X7" s="14">
        <f t="shared" si="8"/>
        <v>0</v>
      </c>
      <c r="Y7" s="21">
        <f t="shared" si="9"/>
        <v>0</v>
      </c>
      <c r="Z7" s="15">
        <v>0.1</v>
      </c>
      <c r="AA7" s="15">
        <v>0.1</v>
      </c>
      <c r="AB7" s="15">
        <f t="shared" si="10"/>
        <v>0.2</v>
      </c>
      <c r="AC7" s="16">
        <f t="shared" si="11"/>
        <v>0.30000000000000004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무기</vt:lpstr>
      <vt:lpstr>방어구·머리</vt:lpstr>
      <vt:lpstr>악세서리</vt:lpstr>
      <vt:lpstr>스킬</vt:lpstr>
      <vt:lpstr>계산식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onetwo one</cp:lastModifiedBy>
  <dcterms:modified xsi:type="dcterms:W3CDTF">2026-07-16T17:00:48Z</dcterms:modified>
</cp:coreProperties>
</file>